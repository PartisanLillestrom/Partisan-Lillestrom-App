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SENB\Downloads\"/>
    </mc:Choice>
  </mc:AlternateContent>
  <xr:revisionPtr revIDLastSave="0" documentId="13_ncr:1_{6D6D1A3C-E8CE-475C-A5B2-763122A89BD2}" xr6:coauthVersionLast="47" xr6:coauthVersionMax="47" xr10:uidLastSave="{00000000-0000-0000-0000-000000000000}"/>
  <bookViews>
    <workbookView xWindow="51480" yWindow="660" windowWidth="29040" windowHeight="15720" xr2:uid="{00000000-000D-0000-FFFF-FFFF00000000}"/>
  </bookViews>
  <sheets>
    <sheet name="Medlemsregister - P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" i="1"/>
  <c r="A38" i="1"/>
  <c r="A39" i="1"/>
  <c r="D37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D33" i="1"/>
  <c r="D32" i="1"/>
  <c r="D30" i="1"/>
  <c r="D28" i="1"/>
  <c r="D29" i="1"/>
  <c r="D27" i="1"/>
  <c r="D26" i="1"/>
  <c r="D24" i="1"/>
  <c r="D25" i="1"/>
  <c r="D19" i="1"/>
  <c r="D21" i="1"/>
  <c r="D23" i="1"/>
  <c r="D22" i="1"/>
  <c r="D4" i="1"/>
  <c r="D17" i="1"/>
  <c r="D18" i="1"/>
  <c r="D14" i="1"/>
  <c r="D15" i="1"/>
  <c r="D16" i="1"/>
  <c r="D12" i="1"/>
  <c r="D13" i="1"/>
  <c r="D11" i="1"/>
  <c r="D9" i="1"/>
  <c r="D10" i="1"/>
  <c r="D5" i="1"/>
  <c r="D6" i="1"/>
  <c r="D7" i="1"/>
  <c r="D8" i="1"/>
  <c r="J2" i="1" l="1"/>
  <c r="C2" i="1"/>
</calcChain>
</file>

<file path=xl/sharedStrings.xml><?xml version="1.0" encoding="utf-8"?>
<sst xmlns="http://schemas.openxmlformats.org/spreadsheetml/2006/main" count="111" uniqueCount="104">
  <si>
    <t>Kein Fußball den Faschisten!</t>
  </si>
  <si>
    <t>Antall betalende medlemmer (nåtid):</t>
  </si>
  <si>
    <t>Medlemsregister  - Partisan Lillestrøm</t>
  </si>
  <si>
    <t>Antall medlemmer (historisk):</t>
  </si>
  <si>
    <t>Medlemsnummer</t>
  </si>
  <si>
    <t>Navn</t>
  </si>
  <si>
    <t>Fødselsdato</t>
  </si>
  <si>
    <t>Alder</t>
  </si>
  <si>
    <t>E-post</t>
  </si>
  <si>
    <t>Telefonnummer</t>
  </si>
  <si>
    <t>Medlem siden (dato)</t>
  </si>
  <si>
    <t>Medlem siden (dager)</t>
  </si>
  <si>
    <t>Sist betalte medlemsskap (dato)</t>
  </si>
  <si>
    <t>Dager til neste betaling</t>
  </si>
  <si>
    <t>Bjørn Olsen</t>
  </si>
  <si>
    <t>bjorn.olsen77@gmail.com</t>
  </si>
  <si>
    <t>971 27 385</t>
  </si>
  <si>
    <t>Trond Granli</t>
  </si>
  <si>
    <t>trond.granli@gmail.com</t>
  </si>
  <si>
    <t>928 88 453</t>
  </si>
  <si>
    <t>Espen Berge</t>
  </si>
  <si>
    <t>espberge@gmail.com</t>
  </si>
  <si>
    <t>415 42 311</t>
  </si>
  <si>
    <t>Snorre Myraas</t>
  </si>
  <si>
    <t>snorpo@hotmail.com</t>
  </si>
  <si>
    <t>982 04 043</t>
  </si>
  <si>
    <t>Eirik Dreyer-Sveen</t>
  </si>
  <si>
    <t>sveen.eirik@gmail.com</t>
  </si>
  <si>
    <t>950 33 363</t>
  </si>
  <si>
    <t>Mats Kolstad Selbekk</t>
  </si>
  <si>
    <t>mats@elite-hockey.com</t>
  </si>
  <si>
    <t>902 19 375</t>
  </si>
  <si>
    <t>Simen Bakken Lorentzen</t>
  </si>
  <si>
    <t>simen.lorentzen@hotmail.com</t>
  </si>
  <si>
    <t>Marius Nilsen</t>
  </si>
  <si>
    <t>mariusnilsen1982@gmail.com</t>
  </si>
  <si>
    <t>958 05 171</t>
  </si>
  <si>
    <t>Morten Kristiansen</t>
  </si>
  <si>
    <t>morten.kristiansen@live.no</t>
  </si>
  <si>
    <t>951 85 906</t>
  </si>
  <si>
    <t>Per Bjørnar Ebbestad</t>
  </si>
  <si>
    <t>per.b.ebbestad@hotmail.com</t>
  </si>
  <si>
    <t>922 32 105</t>
  </si>
  <si>
    <t>Marius Aasen Moe</t>
  </si>
  <si>
    <t>mariusaasenmoe@gmail.com</t>
  </si>
  <si>
    <t>986 66 601</t>
  </si>
  <si>
    <t>Kristian Engen</t>
  </si>
  <si>
    <t>engenkristian@gmail.com</t>
  </si>
  <si>
    <t>986 15 727</t>
  </si>
  <si>
    <t>Frikk Garvoll Aulie</t>
  </si>
  <si>
    <t>fgaulie@gmail.com</t>
  </si>
  <si>
    <t>920 19 665</t>
  </si>
  <si>
    <t>Lars Ola Bakke</t>
  </si>
  <si>
    <t>lars.ola.bakke@gmail.com</t>
  </si>
  <si>
    <t>907 04 591</t>
  </si>
  <si>
    <t>Kent Jensen</t>
  </si>
  <si>
    <t>kent@jjensen.no</t>
  </si>
  <si>
    <t>930 87 147</t>
  </si>
  <si>
    <t>Julius Edvardsen</t>
  </si>
  <si>
    <t>juliusedvardsen@gmail.com</t>
  </si>
  <si>
    <t>902 72 107</t>
  </si>
  <si>
    <t>Jan-Erik Bergmann</t>
  </si>
  <si>
    <t>jebergmann@gmail.com</t>
  </si>
  <si>
    <t>Emil Sveen</t>
  </si>
  <si>
    <t>Sveen.emil@gmail.com</t>
  </si>
  <si>
    <t>Ranveig Huse</t>
  </si>
  <si>
    <t>ranveig.huse@gmail.com</t>
  </si>
  <si>
    <t>Robert Dahlen Svendsen</t>
  </si>
  <si>
    <t>rdsvendsen@hotmail.com</t>
  </si>
  <si>
    <t>Rune Palmer Lie</t>
  </si>
  <si>
    <t>rune.palmer@hotmail.com</t>
  </si>
  <si>
    <t>456 07 070</t>
  </si>
  <si>
    <t>Kjetil Svendsberget</t>
  </si>
  <si>
    <t>kjetil.svendsberget@gmail.com</t>
  </si>
  <si>
    <t>400 01 306</t>
  </si>
  <si>
    <t>Theo Scott Selbekk</t>
  </si>
  <si>
    <t>N/A</t>
  </si>
  <si>
    <t>Bjørn Lindahl</t>
  </si>
  <si>
    <t>bjornlindahl@me.com</t>
  </si>
  <si>
    <t>Stian Sannerud</t>
  </si>
  <si>
    <t>stiansannerud@hotmail.com</t>
  </si>
  <si>
    <t>986 19 504</t>
  </si>
  <si>
    <t>Linda Emilie Granlund</t>
  </si>
  <si>
    <t>linda.granlund@gmail.com</t>
  </si>
  <si>
    <t>951 79 669</t>
  </si>
  <si>
    <t>Oliver Enke</t>
  </si>
  <si>
    <t>oliverenke@me.com</t>
  </si>
  <si>
    <t>Susanne Enke</t>
  </si>
  <si>
    <t>Marc Sikora</t>
  </si>
  <si>
    <t>marc.sikora@gmx.net</t>
  </si>
  <si>
    <t>Sverre Bie-Lorentzen</t>
  </si>
  <si>
    <t>sverrerbl@gmail.com</t>
  </si>
  <si>
    <t>Inge Hestnes</t>
  </si>
  <si>
    <t>ingeh@afk.no</t>
  </si>
  <si>
    <t>Tim Greni</t>
  </si>
  <si>
    <t>tim.greni@gmail.com</t>
  </si>
  <si>
    <t>Kåre Halle</t>
  </si>
  <si>
    <t>kare.halle@steelpro.no</t>
  </si>
  <si>
    <t>Alba Scott Selbekk</t>
  </si>
  <si>
    <t>Bjørn H. Andreassen</t>
  </si>
  <si>
    <t>bjorn1959@hotmail.com</t>
  </si>
  <si>
    <t>926 09 455</t>
  </si>
  <si>
    <t>Ann Cathrin Lindahl</t>
  </si>
  <si>
    <t>anncathlindahl@icloud.com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</si>
</sst>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omic Sans MS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FFFF"/>
      <name val="Comic Sans MS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14" fontId="0" fillId="0" borderId="0" xfId="0" applyNumberFormat="1" applyAlignment="1">
      <alignment horizontal="left"/>
    </xf>
    <xf numFmtId="0" fontId="2" fillId="2" borderId="2" xfId="0" applyFont="1" applyFill="1" applyBorder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5" fillId="2" borderId="2" xfId="0" quotePrefix="1" applyFont="1" applyFill="1" applyBorder="1"/>
    <xf numFmtId="0" fontId="6" fillId="2" borderId="0" xfId="0" quotePrefix="1" applyFont="1" applyFill="1" applyAlignment="1">
      <alignment vertical="center"/>
    </xf>
    <xf numFmtId="14" fontId="0" fillId="0" borderId="0" xfId="0" applyNumberFormat="1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center"/>
    </xf>
    <xf numFmtId="2" fontId="0" fillId="4" borderId="0" xfId="0" applyNumberFormat="1" applyFill="1"/>
    <xf numFmtId="0" fontId="0" fillId="4" borderId="0" xfId="0" applyFill="1" applyAlignment="1">
      <alignment vertical="center"/>
    </xf>
    <xf numFmtId="0" fontId="8" fillId="4" borderId="0" xfId="0" applyFont="1" applyFill="1" applyAlignment="1">
      <alignment vertical="center"/>
    </xf>
    <xf numFmtId="0" fontId="8" fillId="0" borderId="0" xfId="0" applyNumberFormat="1" applyFont="1" applyAlignment="1">
      <alignment vertical="center"/>
    </xf>
    <xf numFmtId="0" fontId="8" fillId="4" borderId="0" xfId="0" applyNumberFormat="1" applyFont="1" applyFill="1" applyAlignment="1">
      <alignment vertical="center"/>
    </xf>
    <xf numFmtId="0" fontId="7" fillId="3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left" indent="21"/>
    </xf>
  </cellXfs>
  <cellStyles count="2">
    <cellStyle name="Hyperlink" xfId="1" xr:uid="{00000000-000B-0000-0000-000008000000}"/>
    <cellStyle name="Normal" xfId="0" builtinId="0"/>
  </cellStyles>
  <dxfs count="17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general" vertical="center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</dxf>
    <dxf>
      <numFmt numFmtId="1" formatCode="0"/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0A3237-7883-4078-921B-262612C28B44}" name="Tabell2" displayName="Tabell2" ref="A3:J45" headerRowDxfId="14">
  <autoFilter ref="A3:J45" xr:uid="{410A3237-7883-4078-921B-262612C28B44}"/>
  <tableColumns count="10">
    <tableColumn id="1" xr3:uid="{CEECD1C9-AC4E-4E9B-A6C7-F26993CDCF3C}" name="Medlemsnummer" totalsRowLabel="Totalt" dataDxfId="12" totalsRowDxfId="13">
      <calculatedColumnFormula>ROW() - ROW(Tabell2[[#Headers],[Medlemsnummer]])</calculatedColumnFormula>
    </tableColumn>
    <tableColumn id="2" xr3:uid="{E407A4EF-BB2D-4350-AC56-ECBE265383D3}" name="Navn"/>
    <tableColumn id="9" xr3:uid="{C685EC94-40DC-4178-A3F2-2858C50C2866}" name="Fødselsdato"/>
    <tableColumn id="8" xr3:uid="{8145F4C0-CA52-4B8B-A335-2364B1E103FA}" name="Alder" dataDxfId="11">
      <calculatedColumnFormula>(YEAR(NOW())-YEAR(C4))</calculatedColumnFormula>
    </tableColumn>
    <tableColumn id="3" xr3:uid="{48D40179-39D1-42F8-A40D-1DBFE6E38A2D}" name="E-post" totalsRowDxfId="10" dataCellStyle="Hyperlink"/>
    <tableColumn id="4" xr3:uid="{7E75A048-EBAD-453F-9BD2-7330E7A3554A}" name="Telefonnummer" dataDxfId="8" totalsRowDxfId="9"/>
    <tableColumn id="5" xr3:uid="{3F122B32-DE70-48AF-9204-1A29CB865FD3}" name="Medlem siden (dato)" dataDxfId="6" totalsRowDxfId="7"/>
    <tableColumn id="7" xr3:uid="{C7B0280E-8B20-45EA-9BC4-8685DD9594A5}" name="Medlem siden (dager)" dataDxfId="4" totalsRowDxfId="5">
      <calculatedColumnFormula>TODAY()-G4</calculatedColumnFormula>
    </tableColumn>
    <tableColumn id="6" xr3:uid="{5FF7C7AE-6589-4D85-983F-71A16BD4A6F6}" name="Sist betalte medlemsskap (dato)" totalsRowFunction="count" dataDxfId="2" totalsRowDxfId="3"/>
    <tableColumn id="10" xr3:uid="{172B43BA-7E5B-4B14-81DC-C6D44EBE4A4F}" name="Dager til neste betaling" dataDxfId="0" totalsRowDxfId="1">
      <calculatedColumnFormula>TODAY()-365-I4</calculatedColumnFormula>
    </tableColumn>
  </tableColumns>
  <tableStyleInfo name="TableStyleMedium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fgaulie@gmail.com" TargetMode="External"/><Relationship Id="rId18" Type="http://schemas.openxmlformats.org/officeDocument/2006/relationships/hyperlink" Target="mailto:Sveen.emil@gmail.com" TargetMode="External"/><Relationship Id="rId26" Type="http://schemas.openxmlformats.org/officeDocument/2006/relationships/hyperlink" Target="mailto:oliverenke@me.com" TargetMode="External"/><Relationship Id="rId3" Type="http://schemas.openxmlformats.org/officeDocument/2006/relationships/hyperlink" Target="mailto:espberge@gmail.com" TargetMode="External"/><Relationship Id="rId21" Type="http://schemas.openxmlformats.org/officeDocument/2006/relationships/hyperlink" Target="mailto:kjetil.svendsberget@gmail.com" TargetMode="External"/><Relationship Id="rId34" Type="http://schemas.openxmlformats.org/officeDocument/2006/relationships/table" Target="../tables/table1.xml"/><Relationship Id="rId7" Type="http://schemas.openxmlformats.org/officeDocument/2006/relationships/hyperlink" Target="mailto:morten.kristiansen@live.no" TargetMode="External"/><Relationship Id="rId12" Type="http://schemas.openxmlformats.org/officeDocument/2006/relationships/hyperlink" Target="mailto:simen.lorentzen@hotmail.com" TargetMode="External"/><Relationship Id="rId17" Type="http://schemas.openxmlformats.org/officeDocument/2006/relationships/hyperlink" Target="mailto:jebergmann@gmail.com" TargetMode="External"/><Relationship Id="rId25" Type="http://schemas.openxmlformats.org/officeDocument/2006/relationships/hyperlink" Target="mailto:linda.granlund@gmail.com" TargetMode="External"/><Relationship Id="rId33" Type="http://schemas.openxmlformats.org/officeDocument/2006/relationships/hyperlink" Target="mailto:anncathlindahl@icloud.com" TargetMode="External"/><Relationship Id="rId2" Type="http://schemas.openxmlformats.org/officeDocument/2006/relationships/hyperlink" Target="mailto:trond.granli@gmail.com" TargetMode="External"/><Relationship Id="rId16" Type="http://schemas.openxmlformats.org/officeDocument/2006/relationships/hyperlink" Target="mailto:kent@jjensen.no" TargetMode="External"/><Relationship Id="rId20" Type="http://schemas.openxmlformats.org/officeDocument/2006/relationships/hyperlink" Target="mailto:rdsvendsen@hotmail.com" TargetMode="External"/><Relationship Id="rId29" Type="http://schemas.openxmlformats.org/officeDocument/2006/relationships/hyperlink" Target="mailto:tim.greni@gmail.com" TargetMode="External"/><Relationship Id="rId1" Type="http://schemas.openxmlformats.org/officeDocument/2006/relationships/hyperlink" Target="mailto:bjorn.olsen77@gmail.com" TargetMode="External"/><Relationship Id="rId6" Type="http://schemas.openxmlformats.org/officeDocument/2006/relationships/hyperlink" Target="mailto:mats@elite-hockey.com" TargetMode="External"/><Relationship Id="rId11" Type="http://schemas.openxmlformats.org/officeDocument/2006/relationships/hyperlink" Target="mailto:engenkristian@gmail.com" TargetMode="External"/><Relationship Id="rId24" Type="http://schemas.openxmlformats.org/officeDocument/2006/relationships/hyperlink" Target="mailto:stiansannerud@hotmail.com" TargetMode="External"/><Relationship Id="rId32" Type="http://schemas.openxmlformats.org/officeDocument/2006/relationships/hyperlink" Target="mailto:bjorn1959@hotmail.com" TargetMode="External"/><Relationship Id="rId5" Type="http://schemas.openxmlformats.org/officeDocument/2006/relationships/hyperlink" Target="mailto:snorpo@hotmail.com" TargetMode="External"/><Relationship Id="rId15" Type="http://schemas.openxmlformats.org/officeDocument/2006/relationships/hyperlink" Target="mailto:juliusedvardsen@gmail.com" TargetMode="External"/><Relationship Id="rId23" Type="http://schemas.openxmlformats.org/officeDocument/2006/relationships/hyperlink" Target="mailto:bjornlindahl@me.com" TargetMode="External"/><Relationship Id="rId28" Type="http://schemas.openxmlformats.org/officeDocument/2006/relationships/hyperlink" Target="mailto:sverrerbl@gmail.com" TargetMode="External"/><Relationship Id="rId10" Type="http://schemas.openxmlformats.org/officeDocument/2006/relationships/hyperlink" Target="mailto:sveen.eirik@gmail.com" TargetMode="External"/><Relationship Id="rId19" Type="http://schemas.openxmlformats.org/officeDocument/2006/relationships/hyperlink" Target="mailto:ranveig.huse@gmail.com" TargetMode="External"/><Relationship Id="rId31" Type="http://schemas.openxmlformats.org/officeDocument/2006/relationships/hyperlink" Target="mailto:ingeh@afk.no" TargetMode="External"/><Relationship Id="rId4" Type="http://schemas.openxmlformats.org/officeDocument/2006/relationships/hyperlink" Target="mailto:mariusnilsen1982@gmail.com" TargetMode="External"/><Relationship Id="rId9" Type="http://schemas.openxmlformats.org/officeDocument/2006/relationships/hyperlink" Target="mailto:mariusaasenmoe@gmail.com" TargetMode="External"/><Relationship Id="rId14" Type="http://schemas.openxmlformats.org/officeDocument/2006/relationships/hyperlink" Target="mailto:lars.ola.bakke@gmail.com" TargetMode="External"/><Relationship Id="rId22" Type="http://schemas.openxmlformats.org/officeDocument/2006/relationships/hyperlink" Target="mailto:rune.palmer@hotmail.com" TargetMode="External"/><Relationship Id="rId27" Type="http://schemas.openxmlformats.org/officeDocument/2006/relationships/hyperlink" Target="mailto:marc.sikora@gmx.net" TargetMode="External"/><Relationship Id="rId30" Type="http://schemas.openxmlformats.org/officeDocument/2006/relationships/hyperlink" Target="mailto:kare.halle@steelpro.no" TargetMode="External"/><Relationship Id="rId8" Type="http://schemas.openxmlformats.org/officeDocument/2006/relationships/hyperlink" Target="mailto:per.b.ebbestad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"/>
  <sheetViews>
    <sheetView tabSelected="1" workbookViewId="0">
      <pane ySplit="3" topLeftCell="A4" activePane="bottomLeft" state="frozen"/>
      <selection pane="bottomLeft" activeCell="M10" sqref="M10"/>
    </sheetView>
  </sheetViews>
  <sheetFormatPr defaultColWidth="9.140625" defaultRowHeight="15"/>
  <cols>
    <col min="1" max="1" width="21.42578125" customWidth="1"/>
    <col min="2" max="2" width="23" bestFit="1" customWidth="1"/>
    <col min="3" max="3" width="23" customWidth="1"/>
    <col min="4" max="4" width="11.140625" customWidth="1"/>
    <col min="5" max="5" width="28.85546875" bestFit="1" customWidth="1"/>
    <col min="6" max="6" width="19.5703125" customWidth="1"/>
    <col min="7" max="7" width="24.140625" customWidth="1"/>
    <col min="8" max="8" width="25.85546875" customWidth="1"/>
    <col min="9" max="9" width="32.85546875" bestFit="1" customWidth="1"/>
    <col min="10" max="10" width="24.5703125" style="6" bestFit="1" customWidth="1"/>
    <col min="11" max="11" width="10.85546875" style="12" bestFit="1" customWidth="1"/>
    <col min="12" max="26" width="9.140625" style="12"/>
  </cols>
  <sheetData>
    <row r="1" spans="1:11" ht="15.7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1" ht="17.25" customHeight="1">
      <c r="A2" s="20" t="s">
        <v>1</v>
      </c>
      <c r="B2" s="21"/>
      <c r="C2" s="7">
        <f ca="1">COUNTIF(J4:J111,"&lt;0")</f>
        <v>32</v>
      </c>
      <c r="D2" s="22" t="s">
        <v>2</v>
      </c>
      <c r="E2" s="22"/>
      <c r="F2" s="22"/>
      <c r="G2" s="22"/>
      <c r="H2" s="22"/>
      <c r="I2" s="4" t="s">
        <v>3</v>
      </c>
      <c r="J2" s="8">
        <f>COUNTIF(A4:A106,"&gt;0,5")</f>
        <v>36</v>
      </c>
    </row>
    <row r="3" spans="1:11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6" t="s">
        <v>13</v>
      </c>
      <c r="K3" s="13"/>
    </row>
    <row r="4" spans="1:11">
      <c r="A4" s="1">
        <f>ROW() - ROW(Tabell2[[#Headers],[Medlemsnummer]])</f>
        <v>1</v>
      </c>
      <c r="B4" t="s">
        <v>14</v>
      </c>
      <c r="C4" s="9">
        <v>28324</v>
      </c>
      <c r="D4" s="5">
        <f ca="1">(YEAR(NOW())-YEAR(C4))</f>
        <v>49</v>
      </c>
      <c r="E4" s="2" t="s">
        <v>15</v>
      </c>
      <c r="F4" s="1" t="s">
        <v>16</v>
      </c>
      <c r="G4" s="9">
        <v>44582</v>
      </c>
      <c r="H4" s="5">
        <f ca="1">TODAY()-G4</f>
        <v>1615</v>
      </c>
      <c r="I4" s="9">
        <v>46051</v>
      </c>
      <c r="J4" s="17">
        <f ca="1">TODAY()-365-I4</f>
        <v>-219</v>
      </c>
      <c r="K4" s="14"/>
    </row>
    <row r="5" spans="1:11">
      <c r="A5" s="1">
        <f>ROW() - ROW(Tabell2[[#Headers],[Medlemsnummer]])</f>
        <v>2</v>
      </c>
      <c r="B5" t="s">
        <v>17</v>
      </c>
      <c r="C5" s="9">
        <v>23798</v>
      </c>
      <c r="D5" s="5">
        <f t="shared" ref="D5:D37" ca="1" si="0">(YEAR(NOW())-YEAR(C5))</f>
        <v>61</v>
      </c>
      <c r="E5" s="2" t="s">
        <v>18</v>
      </c>
      <c r="F5" s="1" t="s">
        <v>19</v>
      </c>
      <c r="G5" s="9">
        <v>44582</v>
      </c>
      <c r="H5" s="5">
        <f t="shared" ref="H5:H39" ca="1" si="1">TODAY()-G5</f>
        <v>1615</v>
      </c>
      <c r="I5" s="9">
        <v>46051</v>
      </c>
      <c r="J5" s="17">
        <f t="shared" ref="J5:J39" ca="1" si="2">TODAY()-365-I5</f>
        <v>-219</v>
      </c>
    </row>
    <row r="6" spans="1:11">
      <c r="A6" s="1">
        <f>ROW() - ROW(Tabell2[[#Headers],[Medlemsnummer]])</f>
        <v>3</v>
      </c>
      <c r="B6" t="s">
        <v>20</v>
      </c>
      <c r="C6" s="9">
        <v>25739</v>
      </c>
      <c r="D6" s="5">
        <f t="shared" ca="1" si="0"/>
        <v>56</v>
      </c>
      <c r="E6" s="2" t="s">
        <v>21</v>
      </c>
      <c r="F6" s="1" t="s">
        <v>22</v>
      </c>
      <c r="G6" s="9">
        <v>44582</v>
      </c>
      <c r="H6" s="5">
        <f t="shared" ca="1" si="1"/>
        <v>1615</v>
      </c>
      <c r="I6" s="9">
        <v>46051</v>
      </c>
      <c r="J6" s="17">
        <f t="shared" ca="1" si="2"/>
        <v>-219</v>
      </c>
    </row>
    <row r="7" spans="1:11">
      <c r="A7" s="1">
        <f>ROW() - ROW(Tabell2[[#Headers],[Medlemsnummer]])</f>
        <v>4</v>
      </c>
      <c r="B7" t="s">
        <v>23</v>
      </c>
      <c r="C7" s="9">
        <v>26331</v>
      </c>
      <c r="D7" s="5">
        <f t="shared" ca="1" si="0"/>
        <v>54</v>
      </c>
      <c r="E7" s="2" t="s">
        <v>24</v>
      </c>
      <c r="F7" s="1" t="s">
        <v>25</v>
      </c>
      <c r="G7" s="9">
        <v>44582</v>
      </c>
      <c r="H7" s="5">
        <f t="shared" ca="1" si="1"/>
        <v>1615</v>
      </c>
      <c r="I7" s="9">
        <v>46051</v>
      </c>
      <c r="J7" s="17">
        <f t="shared" ca="1" si="2"/>
        <v>-219</v>
      </c>
    </row>
    <row r="8" spans="1:11">
      <c r="A8" s="1">
        <f>ROW() - ROW(Tabell2[[#Headers],[Medlemsnummer]])</f>
        <v>5</v>
      </c>
      <c r="B8" t="s">
        <v>26</v>
      </c>
      <c r="C8" s="9">
        <v>32849</v>
      </c>
      <c r="D8" s="5">
        <f t="shared" ca="1" si="0"/>
        <v>37</v>
      </c>
      <c r="E8" s="2" t="s">
        <v>27</v>
      </c>
      <c r="F8" s="1" t="s">
        <v>28</v>
      </c>
      <c r="G8" s="9">
        <v>44582</v>
      </c>
      <c r="H8" s="5">
        <f t="shared" ca="1" si="1"/>
        <v>1615</v>
      </c>
      <c r="I8" s="9">
        <v>46051</v>
      </c>
      <c r="J8" s="17">
        <f t="shared" ca="1" si="2"/>
        <v>-219</v>
      </c>
    </row>
    <row r="9" spans="1:11">
      <c r="A9" s="1">
        <f>ROW() - ROW(Tabell2[[#Headers],[Medlemsnummer]])</f>
        <v>6</v>
      </c>
      <c r="B9" t="s">
        <v>29</v>
      </c>
      <c r="C9" s="9">
        <v>31793</v>
      </c>
      <c r="D9" s="5">
        <f t="shared" ca="1" si="0"/>
        <v>39</v>
      </c>
      <c r="E9" s="2" t="s">
        <v>30</v>
      </c>
      <c r="F9" s="1" t="s">
        <v>31</v>
      </c>
      <c r="G9" s="9">
        <v>44582</v>
      </c>
      <c r="H9" s="5">
        <f t="shared" ca="1" si="1"/>
        <v>1615</v>
      </c>
      <c r="I9" s="9">
        <v>46051</v>
      </c>
      <c r="J9" s="17">
        <f t="shared" ca="1" si="2"/>
        <v>-219</v>
      </c>
    </row>
    <row r="10" spans="1:11">
      <c r="A10" s="1">
        <f>ROW() - ROW(Tabell2[[#Headers],[Medlemsnummer]])</f>
        <v>7</v>
      </c>
      <c r="B10" t="s">
        <v>32</v>
      </c>
      <c r="C10" s="9">
        <v>35444</v>
      </c>
      <c r="D10" s="5">
        <f t="shared" ca="1" si="0"/>
        <v>29</v>
      </c>
      <c r="E10" s="2" t="s">
        <v>33</v>
      </c>
      <c r="F10" s="1">
        <v>48188765</v>
      </c>
      <c r="G10" s="9">
        <v>44582</v>
      </c>
      <c r="H10" s="5">
        <f t="shared" ca="1" si="1"/>
        <v>1615</v>
      </c>
      <c r="I10" s="9">
        <v>46050</v>
      </c>
      <c r="J10" s="17">
        <f t="shared" ca="1" si="2"/>
        <v>-218</v>
      </c>
    </row>
    <row r="11" spans="1:11">
      <c r="A11" s="1">
        <f>ROW() - ROW(Tabell2[[#Headers],[Medlemsnummer]])</f>
        <v>8</v>
      </c>
      <c r="B11" t="s">
        <v>34</v>
      </c>
      <c r="C11" s="9">
        <v>30162</v>
      </c>
      <c r="D11" s="5">
        <f t="shared" ca="1" si="0"/>
        <v>44</v>
      </c>
      <c r="E11" s="2" t="s">
        <v>35</v>
      </c>
      <c r="F11" s="1" t="s">
        <v>36</v>
      </c>
      <c r="G11" s="9">
        <v>44652</v>
      </c>
      <c r="H11" s="5">
        <f t="shared" ca="1" si="1"/>
        <v>1545</v>
      </c>
      <c r="I11" s="9">
        <v>46051</v>
      </c>
      <c r="J11" s="17">
        <f t="shared" ca="1" si="2"/>
        <v>-219</v>
      </c>
    </row>
    <row r="12" spans="1:11">
      <c r="A12" s="1">
        <f>ROW() - ROW(Tabell2[[#Headers],[Medlemsnummer]])</f>
        <v>9</v>
      </c>
      <c r="B12" t="s">
        <v>37</v>
      </c>
      <c r="C12" s="9">
        <v>24976</v>
      </c>
      <c r="D12" s="5">
        <f t="shared" ca="1" si="0"/>
        <v>58</v>
      </c>
      <c r="E12" s="2" t="s">
        <v>38</v>
      </c>
      <c r="F12" s="1" t="s">
        <v>39</v>
      </c>
      <c r="G12" s="9">
        <v>44652</v>
      </c>
      <c r="H12" s="5">
        <f t="shared" ca="1" si="1"/>
        <v>1545</v>
      </c>
      <c r="I12" s="9">
        <v>45686</v>
      </c>
      <c r="J12" s="17">
        <f t="shared" ca="1" si="2"/>
        <v>146</v>
      </c>
    </row>
    <row r="13" spans="1:11">
      <c r="A13" s="1">
        <f>ROW() - ROW(Tabell2[[#Headers],[Medlemsnummer]])</f>
        <v>10</v>
      </c>
      <c r="B13" t="s">
        <v>40</v>
      </c>
      <c r="C13" s="9">
        <v>29201</v>
      </c>
      <c r="D13" s="5">
        <f t="shared" ca="1" si="0"/>
        <v>47</v>
      </c>
      <c r="E13" s="2" t="s">
        <v>41</v>
      </c>
      <c r="F13" s="1" t="s">
        <v>42</v>
      </c>
      <c r="G13" s="9">
        <v>44652</v>
      </c>
      <c r="H13" s="5">
        <f t="shared" ca="1" si="1"/>
        <v>1545</v>
      </c>
      <c r="I13" s="9">
        <v>46051</v>
      </c>
      <c r="J13" s="17">
        <f t="shared" ca="1" si="2"/>
        <v>-219</v>
      </c>
    </row>
    <row r="14" spans="1:11">
      <c r="A14" s="1">
        <f>ROW() - ROW(Tabell2[[#Headers],[Medlemsnummer]])</f>
        <v>11</v>
      </c>
      <c r="B14" t="s">
        <v>43</v>
      </c>
      <c r="C14" s="9">
        <v>35769</v>
      </c>
      <c r="D14" s="5">
        <f t="shared" ca="1" si="0"/>
        <v>29</v>
      </c>
      <c r="E14" s="2" t="s">
        <v>44</v>
      </c>
      <c r="F14" s="1" t="s">
        <v>45</v>
      </c>
      <c r="G14" s="9">
        <v>44652</v>
      </c>
      <c r="H14" s="5">
        <f t="shared" ca="1" si="1"/>
        <v>1545</v>
      </c>
      <c r="I14" s="9">
        <v>46243</v>
      </c>
      <c r="J14" s="17">
        <f t="shared" ca="1" si="2"/>
        <v>-411</v>
      </c>
    </row>
    <row r="15" spans="1:11">
      <c r="A15" s="1">
        <f>ROW() - ROW(Tabell2[[#Headers],[Medlemsnummer]])</f>
        <v>12</v>
      </c>
      <c r="B15" t="s">
        <v>46</v>
      </c>
      <c r="C15" s="9">
        <v>29921</v>
      </c>
      <c r="D15" s="5">
        <f t="shared" ca="1" si="0"/>
        <v>45</v>
      </c>
      <c r="E15" s="2" t="s">
        <v>47</v>
      </c>
      <c r="F15" s="1" t="s">
        <v>48</v>
      </c>
      <c r="G15" s="9">
        <v>44652</v>
      </c>
      <c r="H15" s="5">
        <f t="shared" ca="1" si="1"/>
        <v>1545</v>
      </c>
      <c r="I15" s="9">
        <v>46051</v>
      </c>
      <c r="J15" s="17">
        <f t="shared" ca="1" si="2"/>
        <v>-219</v>
      </c>
    </row>
    <row r="16" spans="1:11">
      <c r="A16" s="1">
        <f>ROW() - ROW(Tabell2[[#Headers],[Medlemsnummer]])</f>
        <v>13</v>
      </c>
      <c r="B16" t="s">
        <v>49</v>
      </c>
      <c r="C16" s="9">
        <v>32628</v>
      </c>
      <c r="D16" s="5">
        <f t="shared" ca="1" si="0"/>
        <v>37</v>
      </c>
      <c r="E16" s="2" t="s">
        <v>50</v>
      </c>
      <c r="F16" s="1" t="s">
        <v>51</v>
      </c>
      <c r="G16" s="9">
        <v>44652</v>
      </c>
      <c r="H16" s="5">
        <f t="shared" ca="1" si="1"/>
        <v>1545</v>
      </c>
      <c r="I16" s="9">
        <v>46051</v>
      </c>
      <c r="J16" s="17">
        <f t="shared" ca="1" si="2"/>
        <v>-219</v>
      </c>
    </row>
    <row r="17" spans="1:10">
      <c r="A17" s="1">
        <f>ROW() - ROW(Tabell2[[#Headers],[Medlemsnummer]])</f>
        <v>14</v>
      </c>
      <c r="B17" t="s">
        <v>52</v>
      </c>
      <c r="C17" s="9">
        <v>29492</v>
      </c>
      <c r="D17" s="5">
        <f t="shared" ca="1" si="0"/>
        <v>46</v>
      </c>
      <c r="E17" s="2" t="s">
        <v>53</v>
      </c>
      <c r="F17" s="1" t="s">
        <v>54</v>
      </c>
      <c r="G17" s="9">
        <v>44652</v>
      </c>
      <c r="H17" s="5">
        <f t="shared" ca="1" si="1"/>
        <v>1545</v>
      </c>
      <c r="I17" s="9">
        <v>46051</v>
      </c>
      <c r="J17" s="17">
        <f t="shared" ca="1" si="2"/>
        <v>-219</v>
      </c>
    </row>
    <row r="18" spans="1:10">
      <c r="A18" s="1">
        <f>ROW() - ROW(Tabell2[[#Headers],[Medlemsnummer]])</f>
        <v>15</v>
      </c>
      <c r="B18" t="s">
        <v>55</v>
      </c>
      <c r="C18" s="9">
        <v>26383</v>
      </c>
      <c r="D18" s="5">
        <f t="shared" ca="1" si="0"/>
        <v>54</v>
      </c>
      <c r="E18" s="2" t="s">
        <v>56</v>
      </c>
      <c r="F18" s="1" t="s">
        <v>57</v>
      </c>
      <c r="G18" s="9">
        <v>44652</v>
      </c>
      <c r="H18" s="5">
        <f t="shared" ca="1" si="1"/>
        <v>1545</v>
      </c>
      <c r="I18" s="9">
        <v>46051</v>
      </c>
      <c r="J18" s="17">
        <f t="shared" ca="1" si="2"/>
        <v>-219</v>
      </c>
    </row>
    <row r="19" spans="1:10">
      <c r="A19" s="1">
        <f>ROW() - ROW(Tabell2[[#Headers],[Medlemsnummer]])</f>
        <v>16</v>
      </c>
      <c r="B19" t="s">
        <v>58</v>
      </c>
      <c r="C19" s="9">
        <v>36585</v>
      </c>
      <c r="D19" s="5">
        <f t="shared" ca="1" si="0"/>
        <v>26</v>
      </c>
      <c r="E19" s="2" t="s">
        <v>59</v>
      </c>
      <c r="F19" s="1" t="s">
        <v>60</v>
      </c>
      <c r="G19" s="9">
        <v>44653</v>
      </c>
      <c r="H19" s="5">
        <f t="shared" ca="1" si="1"/>
        <v>1544</v>
      </c>
      <c r="I19" s="9">
        <v>46051</v>
      </c>
      <c r="J19" s="17">
        <f t="shared" ca="1" si="2"/>
        <v>-219</v>
      </c>
    </row>
    <row r="20" spans="1:10">
      <c r="A20" s="1">
        <f>ROW() - ROW(Tabell2[[#Headers],[Medlemsnummer]])</f>
        <v>17</v>
      </c>
      <c r="B20" t="s">
        <v>61</v>
      </c>
      <c r="C20" s="9"/>
      <c r="D20" s="5"/>
      <c r="E20" s="2" t="s">
        <v>62</v>
      </c>
      <c r="F20" s="1"/>
      <c r="G20" s="9">
        <v>44659</v>
      </c>
      <c r="H20" s="5">
        <f t="shared" ca="1" si="1"/>
        <v>1538</v>
      </c>
      <c r="I20" s="9">
        <v>44659</v>
      </c>
      <c r="J20" s="17">
        <f t="shared" ca="1" si="2"/>
        <v>1173</v>
      </c>
    </row>
    <row r="21" spans="1:10">
      <c r="A21" s="1">
        <f>ROW() - ROW(Tabell2[[#Headers],[Medlemsnummer]])</f>
        <v>18</v>
      </c>
      <c r="B21" t="s">
        <v>63</v>
      </c>
      <c r="C21" s="9">
        <v>35220</v>
      </c>
      <c r="D21" s="5">
        <f t="shared" ca="1" si="0"/>
        <v>30</v>
      </c>
      <c r="E21" s="2" t="s">
        <v>64</v>
      </c>
      <c r="F21" s="1"/>
      <c r="G21" s="9">
        <v>44743</v>
      </c>
      <c r="H21" s="5">
        <f t="shared" ca="1" si="1"/>
        <v>1454</v>
      </c>
      <c r="I21" s="9">
        <v>46051</v>
      </c>
      <c r="J21" s="17">
        <f t="shared" ca="1" si="2"/>
        <v>-219</v>
      </c>
    </row>
    <row r="22" spans="1:10">
      <c r="A22" s="1">
        <f>ROW() - ROW(Tabell2[[#Headers],[Medlemsnummer]])</f>
        <v>19</v>
      </c>
      <c r="B22" t="s">
        <v>65</v>
      </c>
      <c r="C22" s="9">
        <v>27030</v>
      </c>
      <c r="D22" s="5">
        <f t="shared" ca="1" si="0"/>
        <v>52</v>
      </c>
      <c r="E22" s="2" t="s">
        <v>66</v>
      </c>
      <c r="F22" s="1"/>
      <c r="G22" s="9">
        <v>44765</v>
      </c>
      <c r="H22" s="5">
        <f t="shared" ca="1" si="1"/>
        <v>1432</v>
      </c>
      <c r="I22" s="9">
        <v>44792</v>
      </c>
      <c r="J22" s="17">
        <f t="shared" ca="1" si="2"/>
        <v>1040</v>
      </c>
    </row>
    <row r="23" spans="1:10">
      <c r="A23" s="1">
        <f>ROW() - ROW(Tabell2[[#Headers],[Medlemsnummer]])</f>
        <v>20</v>
      </c>
      <c r="B23" t="s">
        <v>67</v>
      </c>
      <c r="C23" s="9">
        <v>26573</v>
      </c>
      <c r="D23" s="5">
        <f t="shared" ca="1" si="0"/>
        <v>54</v>
      </c>
      <c r="E23" s="2" t="s">
        <v>68</v>
      </c>
      <c r="F23" s="1"/>
      <c r="G23" s="9">
        <v>44807</v>
      </c>
      <c r="H23" s="5">
        <f t="shared" ca="1" si="1"/>
        <v>1390</v>
      </c>
      <c r="I23" s="9">
        <v>46054</v>
      </c>
      <c r="J23" s="17">
        <f t="shared" ca="1" si="2"/>
        <v>-222</v>
      </c>
    </row>
    <row r="24" spans="1:10">
      <c r="A24" s="1">
        <f>ROW() - ROW(Tabell2[[#Headers],[Medlemsnummer]])</f>
        <v>21</v>
      </c>
      <c r="B24" t="s">
        <v>69</v>
      </c>
      <c r="C24" s="9">
        <v>23899</v>
      </c>
      <c r="D24" s="5">
        <f ca="1">(YEAR(NOW())-YEAR(C24))</f>
        <v>61</v>
      </c>
      <c r="E24" s="2" t="s">
        <v>70</v>
      </c>
      <c r="F24" s="1" t="s">
        <v>71</v>
      </c>
      <c r="G24" s="9">
        <v>44808</v>
      </c>
      <c r="H24" s="5">
        <f t="shared" ca="1" si="1"/>
        <v>1389</v>
      </c>
      <c r="I24" s="9">
        <v>46051</v>
      </c>
      <c r="J24" s="17">
        <f t="shared" ca="1" si="2"/>
        <v>-219</v>
      </c>
    </row>
    <row r="25" spans="1:10">
      <c r="A25" s="1">
        <f>ROW() - ROW(Tabell2[[#Headers],[Medlemsnummer]])</f>
        <v>22</v>
      </c>
      <c r="B25" t="s">
        <v>72</v>
      </c>
      <c r="C25" s="9">
        <v>26920</v>
      </c>
      <c r="D25" s="5">
        <f t="shared" ca="1" si="0"/>
        <v>53</v>
      </c>
      <c r="E25" s="2" t="s">
        <v>73</v>
      </c>
      <c r="F25" s="1" t="s">
        <v>74</v>
      </c>
      <c r="G25" s="9">
        <v>44817</v>
      </c>
      <c r="H25" s="5">
        <f t="shared" ca="1" si="1"/>
        <v>1380</v>
      </c>
      <c r="I25" s="9">
        <v>46051</v>
      </c>
      <c r="J25" s="17">
        <f t="shared" ca="1" si="2"/>
        <v>-219</v>
      </c>
    </row>
    <row r="26" spans="1:10">
      <c r="A26" s="1">
        <f>ROW() - ROW(Tabell2[[#Headers],[Medlemsnummer]])</f>
        <v>23</v>
      </c>
      <c r="B26" t="s">
        <v>75</v>
      </c>
      <c r="C26" s="9">
        <v>43684</v>
      </c>
      <c r="D26" s="5">
        <f t="shared" ca="1" si="0"/>
        <v>7</v>
      </c>
      <c r="E26" s="2"/>
      <c r="F26" s="1" t="s">
        <v>76</v>
      </c>
      <c r="G26" s="9">
        <v>44941</v>
      </c>
      <c r="H26" s="5">
        <f t="shared" ca="1" si="1"/>
        <v>1256</v>
      </c>
      <c r="I26" s="9">
        <v>46051</v>
      </c>
      <c r="J26" s="17">
        <f t="shared" ca="1" si="2"/>
        <v>-219</v>
      </c>
    </row>
    <row r="27" spans="1:10">
      <c r="A27" s="1">
        <f>ROW() - ROW(Tabell2[[#Headers],[Medlemsnummer]])</f>
        <v>24</v>
      </c>
      <c r="B27" t="s">
        <v>77</v>
      </c>
      <c r="C27" s="9">
        <v>24605</v>
      </c>
      <c r="D27" s="5">
        <f t="shared" ca="1" si="0"/>
        <v>59</v>
      </c>
      <c r="E27" s="2" t="s">
        <v>78</v>
      </c>
      <c r="F27" s="1"/>
      <c r="G27" s="9">
        <v>45051</v>
      </c>
      <c r="H27" s="5">
        <f t="shared" ca="1" si="1"/>
        <v>1146</v>
      </c>
      <c r="I27" s="9">
        <v>46051</v>
      </c>
      <c r="J27" s="17">
        <f t="shared" ca="1" si="2"/>
        <v>-219</v>
      </c>
    </row>
    <row r="28" spans="1:10">
      <c r="A28" s="1">
        <f>ROW() - ROW(Tabell2[[#Headers],[Medlemsnummer]])</f>
        <v>25</v>
      </c>
      <c r="B28" t="s">
        <v>79</v>
      </c>
      <c r="C28" s="9">
        <v>27845</v>
      </c>
      <c r="D28" s="5">
        <f t="shared" ca="1" si="0"/>
        <v>50</v>
      </c>
      <c r="E28" s="2" t="s">
        <v>80</v>
      </c>
      <c r="F28" s="1" t="s">
        <v>81</v>
      </c>
      <c r="G28" s="9">
        <v>45212</v>
      </c>
      <c r="H28" s="5">
        <f t="shared" ca="1" si="1"/>
        <v>985</v>
      </c>
      <c r="I28" s="9">
        <v>46051</v>
      </c>
      <c r="J28" s="17">
        <f t="shared" ca="1" si="2"/>
        <v>-219</v>
      </c>
    </row>
    <row r="29" spans="1:10">
      <c r="A29" s="1">
        <f>ROW() - ROW(Tabell2[[#Headers],[Medlemsnummer]])</f>
        <v>26</v>
      </c>
      <c r="B29" t="s">
        <v>82</v>
      </c>
      <c r="C29" s="9">
        <v>29767</v>
      </c>
      <c r="D29" s="5">
        <f t="shared" ca="1" si="0"/>
        <v>45</v>
      </c>
      <c r="E29" s="2" t="s">
        <v>83</v>
      </c>
      <c r="F29" s="1" t="s">
        <v>84</v>
      </c>
      <c r="G29" s="9">
        <v>45212</v>
      </c>
      <c r="H29" s="5">
        <f t="shared" ca="1" si="1"/>
        <v>985</v>
      </c>
      <c r="I29" s="9">
        <v>46051</v>
      </c>
      <c r="J29" s="17">
        <f t="shared" ca="1" si="2"/>
        <v>-219</v>
      </c>
    </row>
    <row r="30" spans="1:10">
      <c r="A30" s="1">
        <f>ROW() - ROW(Tabell2[[#Headers],[Medlemsnummer]])</f>
        <v>27</v>
      </c>
      <c r="B30" t="s">
        <v>85</v>
      </c>
      <c r="C30" s="9">
        <v>28158</v>
      </c>
      <c r="D30" s="5">
        <f t="shared" ca="1" si="0"/>
        <v>49</v>
      </c>
      <c r="E30" s="2" t="s">
        <v>86</v>
      </c>
      <c r="F30" s="1" t="s">
        <v>76</v>
      </c>
      <c r="G30" s="9">
        <v>45325</v>
      </c>
      <c r="H30" s="5">
        <f t="shared" ca="1" si="1"/>
        <v>872</v>
      </c>
      <c r="I30" s="9">
        <v>46051</v>
      </c>
      <c r="J30" s="17">
        <f t="shared" ca="1" si="2"/>
        <v>-219</v>
      </c>
    </row>
    <row r="31" spans="1:10">
      <c r="A31" s="1">
        <f>ROW() - ROW(Tabell2[[#Headers],[Medlemsnummer]])</f>
        <v>28</v>
      </c>
      <c r="B31" t="s">
        <v>87</v>
      </c>
      <c r="C31" s="1" t="s">
        <v>76</v>
      </c>
      <c r="D31" s="5"/>
      <c r="E31" s="10"/>
      <c r="F31" s="1" t="s">
        <v>76</v>
      </c>
      <c r="G31" s="9">
        <v>45325</v>
      </c>
      <c r="H31" s="5">
        <f t="shared" ca="1" si="1"/>
        <v>872</v>
      </c>
      <c r="I31" s="9">
        <v>46051</v>
      </c>
      <c r="J31" s="17">
        <f t="shared" ca="1" si="2"/>
        <v>-219</v>
      </c>
    </row>
    <row r="32" spans="1:10">
      <c r="A32" s="1">
        <f>ROW() - ROW(Tabell2[[#Headers],[Medlemsnummer]])</f>
        <v>29</v>
      </c>
      <c r="B32" t="s">
        <v>88</v>
      </c>
      <c r="C32" s="9">
        <v>31444</v>
      </c>
      <c r="D32" s="5">
        <f t="shared" ca="1" si="0"/>
        <v>40</v>
      </c>
      <c r="E32" s="2" t="s">
        <v>89</v>
      </c>
      <c r="F32" s="5">
        <v>4915224112112</v>
      </c>
      <c r="G32" s="9">
        <v>45341</v>
      </c>
      <c r="H32" s="5">
        <f t="shared" ca="1" si="1"/>
        <v>856</v>
      </c>
      <c r="I32" s="9">
        <v>46051</v>
      </c>
      <c r="J32" s="17">
        <f t="shared" ca="1" si="2"/>
        <v>-219</v>
      </c>
    </row>
    <row r="33" spans="1:10">
      <c r="A33" s="1">
        <f>ROW() - ROW(Tabell2[[#Headers],[Medlemsnummer]])</f>
        <v>30</v>
      </c>
      <c r="B33" s="11" t="s">
        <v>90</v>
      </c>
      <c r="C33" s="9">
        <v>30776</v>
      </c>
      <c r="D33" s="5">
        <f t="shared" ca="1" si="0"/>
        <v>42</v>
      </c>
      <c r="E33" s="2" t="s">
        <v>91</v>
      </c>
      <c r="F33" s="1"/>
      <c r="G33" s="9">
        <v>45410</v>
      </c>
      <c r="H33" s="5">
        <f t="shared" ca="1" si="1"/>
        <v>787</v>
      </c>
      <c r="I33" s="9">
        <v>46051</v>
      </c>
      <c r="J33" s="17">
        <f t="shared" ca="1" si="2"/>
        <v>-219</v>
      </c>
    </row>
    <row r="34" spans="1:10">
      <c r="A34" s="1">
        <f>ROW() - ROW(Tabell2[[#Headers],[Medlemsnummer]])</f>
        <v>31</v>
      </c>
      <c r="B34" t="s">
        <v>92</v>
      </c>
      <c r="C34" s="9"/>
      <c r="D34" s="5"/>
      <c r="E34" s="2" t="s">
        <v>93</v>
      </c>
      <c r="F34" s="1"/>
      <c r="G34" s="9">
        <v>45411</v>
      </c>
      <c r="H34" s="5">
        <f t="shared" ca="1" si="1"/>
        <v>786</v>
      </c>
      <c r="I34" s="9">
        <v>46051</v>
      </c>
      <c r="J34" s="17">
        <f t="shared" ca="1" si="2"/>
        <v>-219</v>
      </c>
    </row>
    <row r="35" spans="1:10">
      <c r="A35" s="1">
        <f>ROW() - ROW(Tabell2[[#Headers],[Medlemsnummer]])</f>
        <v>32</v>
      </c>
      <c r="B35" t="s">
        <v>94</v>
      </c>
      <c r="C35" s="9" t="s">
        <v>76</v>
      </c>
      <c r="D35" s="5"/>
      <c r="E35" s="2" t="s">
        <v>95</v>
      </c>
      <c r="F35" s="1"/>
      <c r="G35" s="9">
        <v>45414</v>
      </c>
      <c r="H35" s="5">
        <f t="shared" ca="1" si="1"/>
        <v>783</v>
      </c>
      <c r="I35" s="9">
        <v>46051</v>
      </c>
      <c r="J35" s="17">
        <f t="shared" ca="1" si="2"/>
        <v>-219</v>
      </c>
    </row>
    <row r="36" spans="1:10">
      <c r="A36" s="1">
        <f>ROW() - ROW(Tabell2[[#Headers],[Medlemsnummer]])</f>
        <v>33</v>
      </c>
      <c r="B36" t="s">
        <v>96</v>
      </c>
      <c r="C36" s="9" t="s">
        <v>76</v>
      </c>
      <c r="D36" s="5"/>
      <c r="E36" s="2" t="s">
        <v>97</v>
      </c>
      <c r="F36" s="1"/>
      <c r="G36" s="9">
        <v>45424</v>
      </c>
      <c r="H36" s="5">
        <f t="shared" ca="1" si="1"/>
        <v>773</v>
      </c>
      <c r="I36" s="9">
        <v>45345</v>
      </c>
      <c r="J36" s="17">
        <f t="shared" ca="1" si="2"/>
        <v>487</v>
      </c>
    </row>
    <row r="37" spans="1:10">
      <c r="A37" s="1">
        <f>ROW() - ROW(Tabell2[[#Headers],[Medlemsnummer]])</f>
        <v>34</v>
      </c>
      <c r="B37" t="s">
        <v>98</v>
      </c>
      <c r="C37" s="9">
        <v>44590</v>
      </c>
      <c r="D37" s="5">
        <f t="shared" ca="1" si="0"/>
        <v>4</v>
      </c>
      <c r="E37" s="2"/>
      <c r="F37" s="1"/>
      <c r="G37" s="9">
        <v>45686</v>
      </c>
      <c r="H37" s="5">
        <f t="shared" ca="1" si="1"/>
        <v>511</v>
      </c>
      <c r="I37" s="9">
        <v>46051</v>
      </c>
      <c r="J37" s="17">
        <f t="shared" ca="1" si="2"/>
        <v>-219</v>
      </c>
    </row>
    <row r="38" spans="1:10">
      <c r="A38" s="1">
        <f>ROW() - ROW(Tabell2[[#Headers],[Medlemsnummer]])</f>
        <v>35</v>
      </c>
      <c r="B38" t="s">
        <v>99</v>
      </c>
      <c r="C38" s="9" t="s">
        <v>76</v>
      </c>
      <c r="D38" s="5"/>
      <c r="E38" s="2" t="s">
        <v>100</v>
      </c>
      <c r="F38" s="1" t="s">
        <v>101</v>
      </c>
      <c r="G38" s="9">
        <v>45881</v>
      </c>
      <c r="H38" s="5">
        <f t="shared" ca="1" si="1"/>
        <v>316</v>
      </c>
      <c r="I38" s="9">
        <v>46052</v>
      </c>
      <c r="J38" s="17">
        <f t="shared" ca="1" si="2"/>
        <v>-220</v>
      </c>
    </row>
    <row r="39" spans="1:10">
      <c r="A39" s="1">
        <f>ROW() - ROW(Tabell2[[#Headers],[Medlemsnummer]])</f>
        <v>36</v>
      </c>
      <c r="B39" t="s">
        <v>102</v>
      </c>
      <c r="C39" s="9" t="s">
        <v>76</v>
      </c>
      <c r="D39" s="5"/>
      <c r="E39" s="2" t="s">
        <v>103</v>
      </c>
      <c r="F39" s="1"/>
      <c r="G39" s="9">
        <v>45900</v>
      </c>
      <c r="H39" s="5">
        <f t="shared" ca="1" si="1"/>
        <v>297</v>
      </c>
      <c r="I39" s="9">
        <v>46053</v>
      </c>
      <c r="J39" s="17">
        <f t="shared" ca="1" si="2"/>
        <v>-221</v>
      </c>
    </row>
    <row r="40" spans="1:10">
      <c r="A40" s="1"/>
      <c r="C40" s="9"/>
      <c r="D40" s="5"/>
      <c r="E40" s="2"/>
      <c r="F40" s="1"/>
      <c r="G40" s="9"/>
      <c r="H40" s="5"/>
      <c r="I40" s="9"/>
      <c r="J40" s="17"/>
    </row>
    <row r="41" spans="1:10">
      <c r="A41" s="1"/>
      <c r="D41" s="5"/>
      <c r="E41" s="2"/>
      <c r="F41" s="1"/>
      <c r="G41" s="3"/>
      <c r="H41" s="5"/>
      <c r="I41" s="9"/>
      <c r="J41" s="17"/>
    </row>
    <row r="42" spans="1:10">
      <c r="A42" s="1"/>
      <c r="D42" s="5"/>
      <c r="E42" s="2"/>
      <c r="F42" s="1"/>
      <c r="G42" s="9"/>
      <c r="H42" s="5"/>
      <c r="I42" s="9"/>
      <c r="J42" s="17"/>
    </row>
    <row r="43" spans="1:10">
      <c r="A43" s="1"/>
      <c r="D43" s="5"/>
      <c r="E43" s="2"/>
      <c r="F43" s="1"/>
      <c r="G43" s="3"/>
      <c r="H43" s="5"/>
      <c r="I43" s="3"/>
      <c r="J43" s="17"/>
    </row>
    <row r="44" spans="1:10">
      <c r="A44" s="1"/>
      <c r="D44" s="5"/>
      <c r="E44" s="2"/>
      <c r="F44" s="1"/>
      <c r="G44" s="9"/>
      <c r="H44" s="5"/>
      <c r="I44" s="9"/>
      <c r="J44" s="17"/>
    </row>
    <row r="45" spans="1:10">
      <c r="A45" s="1"/>
      <c r="D45" s="5"/>
      <c r="E45" s="2"/>
      <c r="F45" s="1"/>
      <c r="G45" s="3"/>
      <c r="H45" s="5"/>
      <c r="I45" s="3"/>
      <c r="J45" s="17"/>
    </row>
    <row r="46" spans="1:10" s="12" customFormat="1">
      <c r="A46" s="13"/>
      <c r="J46" s="18"/>
    </row>
    <row r="47" spans="1:10" s="12" customFormat="1">
      <c r="A47" s="13"/>
      <c r="J47" s="18"/>
    </row>
    <row r="48" spans="1:10" s="12" customFormat="1">
      <c r="A48" s="13"/>
      <c r="J48" s="18"/>
    </row>
    <row r="49" spans="1:10" s="12" customFormat="1">
      <c r="A49" s="13"/>
      <c r="J49" s="18"/>
    </row>
    <row r="50" spans="1:10" s="12" customFormat="1">
      <c r="A50" s="13"/>
      <c r="J50" s="18"/>
    </row>
    <row r="51" spans="1:10" s="12" customFormat="1">
      <c r="A51" s="13"/>
      <c r="J51" s="18"/>
    </row>
    <row r="52" spans="1:10" s="12" customFormat="1">
      <c r="A52" s="13"/>
      <c r="J52" s="18"/>
    </row>
    <row r="53" spans="1:10" s="12" customFormat="1">
      <c r="A53" s="13"/>
      <c r="J53" s="18"/>
    </row>
    <row r="54" spans="1:10" s="12" customFormat="1">
      <c r="A54" s="13"/>
      <c r="J54" s="18"/>
    </row>
    <row r="55" spans="1:10" s="12" customFormat="1">
      <c r="A55" s="13"/>
      <c r="J55" s="18"/>
    </row>
    <row r="56" spans="1:10" s="12" customFormat="1">
      <c r="A56" s="13"/>
      <c r="J56" s="18"/>
    </row>
    <row r="57" spans="1:10" s="12" customFormat="1">
      <c r="A57" s="13"/>
      <c r="J57" s="16"/>
    </row>
    <row r="58" spans="1:10" s="12" customFormat="1">
      <c r="A58" s="13"/>
      <c r="J58" s="16"/>
    </row>
    <row r="59" spans="1:10" s="12" customFormat="1">
      <c r="A59" s="13"/>
      <c r="J59" s="16"/>
    </row>
    <row r="60" spans="1:10" s="12" customFormat="1">
      <c r="A60" s="13"/>
      <c r="J60" s="16"/>
    </row>
    <row r="61" spans="1:10" s="12" customFormat="1">
      <c r="A61" s="13"/>
      <c r="J61" s="16"/>
    </row>
    <row r="62" spans="1:10" s="12" customFormat="1">
      <c r="A62" s="13"/>
      <c r="J62" s="16"/>
    </row>
    <row r="63" spans="1:10" s="12" customFormat="1">
      <c r="A63" s="13"/>
      <c r="J63" s="16"/>
    </row>
    <row r="64" spans="1:10" s="12" customFormat="1">
      <c r="A64" s="13"/>
      <c r="J64" s="16"/>
    </row>
    <row r="65" spans="10:10" s="12" customFormat="1">
      <c r="J65" s="16"/>
    </row>
    <row r="66" spans="10:10" s="12" customFormat="1">
      <c r="J66" s="16"/>
    </row>
    <row r="67" spans="10:10" s="12" customFormat="1">
      <c r="J67" s="16"/>
    </row>
    <row r="68" spans="10:10" s="12" customFormat="1">
      <c r="J68" s="16"/>
    </row>
    <row r="69" spans="10:10" s="12" customFormat="1">
      <c r="J69" s="15"/>
    </row>
    <row r="70" spans="10:10" s="12" customFormat="1">
      <c r="J70" s="15"/>
    </row>
    <row r="71" spans="10:10" s="12" customFormat="1">
      <c r="J71" s="15"/>
    </row>
    <row r="72" spans="10:10" s="12" customFormat="1">
      <c r="J72" s="15"/>
    </row>
    <row r="73" spans="10:10" s="12" customFormat="1">
      <c r="J73" s="15"/>
    </row>
    <row r="74" spans="10:10" s="12" customFormat="1">
      <c r="J74" s="15"/>
    </row>
    <row r="75" spans="10:10" s="12" customFormat="1">
      <c r="J75" s="15"/>
    </row>
    <row r="76" spans="10:10" s="12" customFormat="1">
      <c r="J76" s="15"/>
    </row>
    <row r="77" spans="10:10" s="12" customFormat="1">
      <c r="J77" s="15"/>
    </row>
    <row r="78" spans="10:10" s="12" customFormat="1">
      <c r="J78" s="15"/>
    </row>
    <row r="79" spans="10:10" s="12" customFormat="1">
      <c r="J79" s="15"/>
    </row>
    <row r="80" spans="10:10" s="12" customFormat="1">
      <c r="J80" s="15"/>
    </row>
  </sheetData>
  <mergeCells count="3">
    <mergeCell ref="A1:J1"/>
    <mergeCell ref="A2:B2"/>
    <mergeCell ref="D2:H2"/>
  </mergeCells>
  <conditionalFormatting sqref="J4:J113">
    <cfRule type="cellIs" dxfId="16" priority="3" operator="greaterThan">
      <formula>0</formula>
    </cfRule>
  </conditionalFormatting>
  <conditionalFormatting sqref="J4:J51">
    <cfRule type="cellIs" dxfId="15" priority="1" operator="greaterThan">
      <formula>0</formula>
    </cfRule>
  </conditionalFormatting>
  <hyperlinks>
    <hyperlink ref="E4" r:id="rId1" xr:uid="{C3BEF9E0-0955-4CB3-BA6A-492C7C411012}"/>
    <hyperlink ref="E5" r:id="rId2" xr:uid="{96F68442-56B1-404F-8028-91A09D0639F8}"/>
    <hyperlink ref="E6" r:id="rId3" xr:uid="{782D836E-3B1E-412F-9B54-779F0B46A7FF}"/>
    <hyperlink ref="E11" r:id="rId4" xr:uid="{AF1EA727-E10F-4FAA-900F-BF8DB0256838}"/>
    <hyperlink ref="E7" r:id="rId5" xr:uid="{3533C626-CB8F-4A8E-9E0C-FF7A32661118}"/>
    <hyperlink ref="E9" r:id="rId6" xr:uid="{B2EF4EB6-DBB1-45FE-9768-44BC114ADFDE}"/>
    <hyperlink ref="E12" r:id="rId7" xr:uid="{664FC8B9-8237-4ACF-B3EF-76AC6C99D78E}"/>
    <hyperlink ref="E13" r:id="rId8" xr:uid="{F91D8FB3-2CF1-4E3C-95D5-A230925E421C}"/>
    <hyperlink ref="E14" r:id="rId9" xr:uid="{E25C4A1A-06A4-4FE3-9943-5D2130EF1771}"/>
    <hyperlink ref="E8" r:id="rId10" xr:uid="{C19B5C0A-9B28-4C63-886A-184893E390B0}"/>
    <hyperlink ref="E15" r:id="rId11" xr:uid="{57ED042E-8055-46FB-A81A-CF94725C12CD}"/>
    <hyperlink ref="E10" r:id="rId12" xr:uid="{9E527D2E-6A16-4DA7-8748-B681CCB5ECAD}"/>
    <hyperlink ref="E16" r:id="rId13" xr:uid="{DB35B16F-DE5A-4C52-894B-87A0DB3B7DE5}"/>
    <hyperlink ref="E17" r:id="rId14" xr:uid="{26648809-526A-46A1-81A7-DC7366133042}"/>
    <hyperlink ref="E19" r:id="rId15" xr:uid="{28E37336-50D8-40F1-A097-015362ECAA00}"/>
    <hyperlink ref="E18" r:id="rId16" xr:uid="{8206B5FF-3C30-48E5-9F64-31E3365FB067}"/>
    <hyperlink ref="E20" r:id="rId17" xr:uid="{D3D44E24-6417-4864-A2E5-C56C74C7B774}"/>
    <hyperlink ref="E21" r:id="rId18" xr:uid="{0AA830C8-3936-477E-A804-E9250BECC167}"/>
    <hyperlink ref="E22" r:id="rId19" xr:uid="{8EBC0FB3-0477-450D-9AF3-75DB6E94FAB7}"/>
    <hyperlink ref="E23" r:id="rId20" xr:uid="{08ED8DC2-7D3D-43A0-B629-F865E42ACD05}"/>
    <hyperlink ref="E25" r:id="rId21" xr:uid="{3DBE047E-46B6-4377-BC31-9D6B1AB5725C}"/>
    <hyperlink ref="E24" r:id="rId22" xr:uid="{8A4C66F5-676D-4275-B4D3-1183A42AF0B3}"/>
    <hyperlink ref="E27" r:id="rId23" xr:uid="{BC2550FC-22D0-4724-92DE-70E00BD8843F}"/>
    <hyperlink ref="E28" r:id="rId24" xr:uid="{6A36610F-0999-4FB8-A070-ABDC0DDDA1B9}"/>
    <hyperlink ref="E29" r:id="rId25" xr:uid="{BC59FB48-949B-4011-A981-CDBE9C08DEC1}"/>
    <hyperlink ref="E30" r:id="rId26" xr:uid="{74F9AEC5-399E-4EDB-97F4-8F29139CA458}"/>
    <hyperlink ref="E32" r:id="rId27" xr:uid="{713447F0-217C-4A79-970F-57F5B10B01AF}"/>
    <hyperlink ref="E33" r:id="rId28" xr:uid="{C53AFA1B-F3BF-4A32-97D0-02310F59B9D1}"/>
    <hyperlink ref="E35" r:id="rId29" xr:uid="{1A0B55AE-E36D-4E8C-B59B-3372F2A0AE96}"/>
    <hyperlink ref="E36" r:id="rId30" xr:uid="{04885F95-7C3F-4568-81C7-F12532616DE3}"/>
    <hyperlink ref="E34" r:id="rId31" xr:uid="{9B8F63EA-D005-4BD1-8B6D-FF3363893AF6}"/>
    <hyperlink ref="E38" r:id="rId32" xr:uid="{F41D5FD0-9D00-4587-8856-D6F799F1CD15}"/>
    <hyperlink ref="E39" r:id="rId33" xr:uid="{C86951AF-C4D2-476A-8867-81D7D451150C}"/>
  </hyperlinks>
  <pageMargins left="0.7" right="0.7" top="0.75" bottom="0.75" header="0.3" footer="0.3"/>
  <tableParts count="1"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Partisan Lillestrøm</cp:lastModifiedBy>
  <cp:revision/>
  <dcterms:created xsi:type="dcterms:W3CDTF">2022-01-24T16:57:43Z</dcterms:created>
  <dcterms:modified xsi:type="dcterms:W3CDTF">2026-06-24T12:10:28Z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79ec1e-7734-4071-a4b9-9f091c05fa90_Enabled">
    <vt:lpwstr>true</vt:lpwstr>
  </property>
  <property fmtid="{D5CDD505-2E9C-101B-9397-08002B2CF9AE}" pid="3" name="MSIP_Label_6379ec1e-7734-4071-a4b9-9f091c05fa90_SetDate">
    <vt:lpwstr>2026-06-24T12:08:56Z</vt:lpwstr>
  </property>
  <property fmtid="{D5CDD505-2E9C-101B-9397-08002B2CF9AE}" pid="4" name="MSIP_Label_6379ec1e-7734-4071-a4b9-9f091c05fa90_Method">
    <vt:lpwstr>Standard</vt:lpwstr>
  </property>
  <property fmtid="{D5CDD505-2E9C-101B-9397-08002B2CF9AE}" pid="5" name="MSIP_Label_6379ec1e-7734-4071-a4b9-9f091c05fa90_Name">
    <vt:lpwstr>General-No-Marking</vt:lpwstr>
  </property>
  <property fmtid="{D5CDD505-2E9C-101B-9397-08002B2CF9AE}" pid="6" name="MSIP_Label_6379ec1e-7734-4071-a4b9-9f091c05fa90_SiteId">
    <vt:lpwstr>33dab507-5210-4075-805b-f2717d8cfa74</vt:lpwstr>
  </property>
  <property fmtid="{D5CDD505-2E9C-101B-9397-08002B2CF9AE}" pid="7" name="MSIP_Label_6379ec1e-7734-4071-a4b9-9f091c05fa90_ActionId">
    <vt:lpwstr>8a8487f4-2523-4648-955d-cbe862bd2e1b</vt:lpwstr>
  </property>
  <property fmtid="{D5CDD505-2E9C-101B-9397-08002B2CF9AE}" pid="8" name="MSIP_Label_6379ec1e-7734-4071-a4b9-9f091c05fa90_ContentBits">
    <vt:lpwstr>0</vt:lpwstr>
  </property>
  <property fmtid="{D5CDD505-2E9C-101B-9397-08002B2CF9AE}" pid="9" name="MSIP_Label_6379ec1e-7734-4071-a4b9-9f091c05fa90_Tag">
    <vt:lpwstr>10, 3, 0, 1</vt:lpwstr>
  </property>
</Properties>
</file>