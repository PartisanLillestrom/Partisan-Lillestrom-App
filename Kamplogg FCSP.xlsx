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jorn\Desktop\Privat\Partisan Lillestrøm\"/>
    </mc:Choice>
  </mc:AlternateContent>
  <xr:revisionPtr revIDLastSave="489" documentId="13_ncr:1_{13C26D5C-C8A7-4B63-813B-201D061E3392}" xr6:coauthVersionLast="47" xr6:coauthVersionMax="47" xr10:uidLastSave="{8F9A35BD-4D01-4B3C-912B-B4C581292E1D}"/>
  <bookViews>
    <workbookView xWindow="-120" yWindow="-120" windowWidth="29040" windowHeight="15840" xr2:uid="{00000000-000D-0000-FFFF-FFFF00000000}"/>
  </bookViews>
  <sheets>
    <sheet name="Kamplogg  - FCS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2" i="1" l="1"/>
  <c r="J2" i="1"/>
  <c r="J4" i="1"/>
  <c r="J5" i="1"/>
  <c r="J3" i="1"/>
</calcChain>
</file>

<file path=xl/sharedStrings.xml><?xml version="1.0" encoding="utf-8"?>
<sst xmlns="http://schemas.openxmlformats.org/spreadsheetml/2006/main" count="224" uniqueCount="67">
  <si>
    <t>Kamplogg  - Partisan Lillestrøm</t>
  </si>
  <si>
    <t>Sammendrag av kamplogg</t>
  </si>
  <si>
    <t>Kamp</t>
  </si>
  <si>
    <t>Dato</t>
  </si>
  <si>
    <t>Hjemmelag</t>
  </si>
  <si>
    <t>Bortelag</t>
  </si>
  <si>
    <t>Resultat</t>
  </si>
  <si>
    <t>Antall kamper</t>
  </si>
  <si>
    <t>FC St. Pauli</t>
  </si>
  <si>
    <t>Erzgebirge Aue</t>
  </si>
  <si>
    <t>4-2</t>
  </si>
  <si>
    <t>Seier</t>
  </si>
  <si>
    <t>Rot-Weiss Oberhausen</t>
  </si>
  <si>
    <t>4-1</t>
  </si>
  <si>
    <t xml:space="preserve">Uavgjort </t>
  </si>
  <si>
    <t>FSV Mainz 05</t>
  </si>
  <si>
    <t>2-0</t>
  </si>
  <si>
    <t>Tap</t>
  </si>
  <si>
    <t>Energie Cottbus</t>
  </si>
  <si>
    <t>1-1</t>
  </si>
  <si>
    <t>Uavgjort</t>
  </si>
  <si>
    <t>Hansa Rostock</t>
  </si>
  <si>
    <t>Eintrach Frankfurt</t>
  </si>
  <si>
    <t>1-3</t>
  </si>
  <si>
    <t>Werder Bremen</t>
  </si>
  <si>
    <t>SV Sandhausen</t>
  </si>
  <si>
    <t>2-1</t>
  </si>
  <si>
    <t>1860 Munchen</t>
  </si>
  <si>
    <t>3-1</t>
  </si>
  <si>
    <t>FSV Frankfurt</t>
  </si>
  <si>
    <t>2-2</t>
  </si>
  <si>
    <t>1860 Mûnchen</t>
  </si>
  <si>
    <t>1-2</t>
  </si>
  <si>
    <t>RB Leipzig</t>
  </si>
  <si>
    <t>1-0</t>
  </si>
  <si>
    <t>SpVgg Greuther Fürth</t>
  </si>
  <si>
    <t>3-2</t>
  </si>
  <si>
    <t>SC Freiburg</t>
  </si>
  <si>
    <t>MSV Duisburg</t>
  </si>
  <si>
    <t>0-2</t>
  </si>
  <si>
    <t>FC Kaiserslautern</t>
  </si>
  <si>
    <t>5-2</t>
  </si>
  <si>
    <t>DSC Arminia Bielefeld</t>
  </si>
  <si>
    <t>FC Union Berlin</t>
  </si>
  <si>
    <t>Hannover 96</t>
  </si>
  <si>
    <t>0-0</t>
  </si>
  <si>
    <t>Fortuna Düsseldorf</t>
  </si>
  <si>
    <t>Eintracht Braunschweig</t>
  </si>
  <si>
    <t>3-0</t>
  </si>
  <si>
    <t>SV Darmstadt</t>
  </si>
  <si>
    <t>Hamburger SV</t>
  </si>
  <si>
    <t>0-4</t>
  </si>
  <si>
    <t>0-1</t>
  </si>
  <si>
    <t>Arminia Bielefeld</t>
  </si>
  <si>
    <t>SV Werder Bremen</t>
  </si>
  <si>
    <t>FC Heidenheim</t>
  </si>
  <si>
    <t>FC Nürnberg</t>
  </si>
  <si>
    <t>Karlsruher SC</t>
  </si>
  <si>
    <t>Hertha Berlin</t>
  </si>
  <si>
    <t>Wolfsburg</t>
  </si>
  <si>
    <t>Holstein Kiel</t>
  </si>
  <si>
    <t>VfB Stuttgart</t>
  </si>
  <si>
    <t>Borussia Dortmund</t>
  </si>
  <si>
    <t>3-3</t>
  </si>
  <si>
    <t>Borussia Mönchengladbach</t>
  </si>
  <si>
    <t>FC Bayern München</t>
  </si>
  <si>
    <t>1. FC Køln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</si>
</sst>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Implenia Frutiger"/>
      <family val="2"/>
    </font>
    <font>
      <b/>
      <sz val="9"/>
      <color theme="1"/>
      <name val="Calibri"/>
    </font>
    <font>
      <sz val="9"/>
      <color theme="1"/>
      <name val="Calibri"/>
    </font>
    <font>
      <b/>
      <sz val="10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14" fontId="2" fillId="0" borderId="6" xfId="0" applyNumberFormat="1" applyFont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left"/>
    </xf>
    <xf numFmtId="9" fontId="2" fillId="0" borderId="12" xfId="0" applyNumberFormat="1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9" fontId="2" fillId="0" borderId="15" xfId="0" applyNumberFormat="1" applyFont="1" applyBorder="1" applyAlignment="1">
      <alignment horizontal="center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center"/>
    </xf>
    <xf numFmtId="9" fontId="2" fillId="0" borderId="18" xfId="0" applyNumberFormat="1" applyFont="1" applyBorder="1" applyAlignment="1">
      <alignment horizontal="center"/>
    </xf>
    <xf numFmtId="0" fontId="1" fillId="2" borderId="22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14" fontId="2" fillId="0" borderId="22" xfId="0" applyNumberFormat="1" applyFont="1" applyBorder="1" applyAlignment="1">
      <alignment horizontal="left"/>
    </xf>
    <xf numFmtId="49" fontId="2" fillId="0" borderId="23" xfId="0" applyNumberFormat="1" applyFont="1" applyBorder="1" applyAlignment="1">
      <alignment horizontal="center"/>
    </xf>
    <xf numFmtId="49" fontId="2" fillId="0" borderId="24" xfId="0" applyNumberFormat="1" applyFont="1" applyBorder="1" applyAlignment="1">
      <alignment horizontal="center"/>
    </xf>
    <xf numFmtId="49" fontId="2" fillId="0" borderId="15" xfId="0" applyNumberFormat="1" applyFont="1" applyBorder="1" applyAlignment="1">
      <alignment horizontal="center"/>
    </xf>
    <xf numFmtId="49" fontId="2" fillId="0" borderId="25" xfId="0" applyNumberFormat="1" applyFont="1" applyBorder="1" applyAlignment="1">
      <alignment horizontal="center"/>
    </xf>
    <xf numFmtId="49" fontId="2" fillId="0" borderId="26" xfId="0" applyNumberFormat="1" applyFont="1" applyBorder="1" applyAlignment="1">
      <alignment horizontal="center"/>
    </xf>
    <xf numFmtId="49" fontId="2" fillId="0" borderId="27" xfId="0" applyNumberFormat="1" applyFont="1" applyBorder="1" applyAlignment="1">
      <alignment horizontal="center"/>
    </xf>
    <xf numFmtId="14" fontId="2" fillId="2" borderId="22" xfId="0" applyNumberFormat="1" applyFont="1" applyFill="1" applyBorder="1" applyAlignment="1">
      <alignment horizontal="left"/>
    </xf>
    <xf numFmtId="49" fontId="2" fillId="2" borderId="27" xfId="0" applyNumberFormat="1" applyFont="1" applyFill="1" applyBorder="1" applyAlignment="1">
      <alignment horizontal="center"/>
    </xf>
    <xf numFmtId="14" fontId="2" fillId="0" borderId="28" xfId="0" applyNumberFormat="1" applyFont="1" applyBorder="1" applyAlignment="1">
      <alignment horizontal="left"/>
    </xf>
    <xf numFmtId="0" fontId="2" fillId="0" borderId="27" xfId="0" applyFont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1" fillId="2" borderId="11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center"/>
    </xf>
    <xf numFmtId="9" fontId="1" fillId="2" borderId="12" xfId="0" applyNumberFormat="1" applyFont="1" applyFill="1" applyBorder="1" applyAlignment="1">
      <alignment horizontal="center"/>
    </xf>
    <xf numFmtId="14" fontId="2" fillId="4" borderId="22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49" fontId="2" fillId="4" borderId="27" xfId="0" applyNumberFormat="1" applyFont="1" applyFill="1" applyBorder="1" applyAlignment="1">
      <alignment horizontal="center"/>
    </xf>
    <xf numFmtId="0" fontId="0" fillId="5" borderId="0" xfId="0" applyFill="1"/>
    <xf numFmtId="0" fontId="2" fillId="5" borderId="0" xfId="0" applyFont="1" applyFill="1" applyAlignment="1">
      <alignment horizontal="left"/>
    </xf>
    <xf numFmtId="14" fontId="2" fillId="5" borderId="0" xfId="0" applyNumberFormat="1" applyFont="1" applyFill="1" applyAlignment="1">
      <alignment horizontal="left"/>
    </xf>
    <xf numFmtId="14" fontId="2" fillId="5" borderId="6" xfId="0" applyNumberFormat="1" applyFont="1" applyFill="1" applyBorder="1" applyAlignment="1">
      <alignment horizontal="left"/>
    </xf>
    <xf numFmtId="49" fontId="2" fillId="5" borderId="27" xfId="0" applyNumberFormat="1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"/>
  <sheetViews>
    <sheetView tabSelected="1" topLeftCell="B1" zoomScale="120" zoomScaleNormal="120" workbookViewId="0">
      <selection activeCell="I48" sqref="I48"/>
    </sheetView>
  </sheetViews>
  <sheetFormatPr defaultColWidth="9" defaultRowHeight="14.25"/>
  <cols>
    <col min="1" max="1" width="8.5" hidden="1" customWidth="1"/>
    <col min="2" max="2" width="10.375" bestFit="1" customWidth="1"/>
    <col min="3" max="3" width="13.625" bestFit="1" customWidth="1"/>
    <col min="4" max="4" width="20.75" bestFit="1" customWidth="1"/>
    <col min="5" max="5" width="12" bestFit="1" customWidth="1"/>
    <col min="6" max="6" width="11" customWidth="1"/>
    <col min="8" max="8" width="11.125" customWidth="1"/>
    <col min="9" max="9" width="28.25" bestFit="1" customWidth="1"/>
    <col min="12" max="25" width="9" style="44"/>
  </cols>
  <sheetData>
    <row r="1" spans="1:11">
      <c r="B1" s="49" t="s">
        <v>0</v>
      </c>
      <c r="C1" s="50"/>
      <c r="D1" s="50"/>
      <c r="E1" s="51"/>
      <c r="G1" s="44"/>
      <c r="H1" s="52" t="s">
        <v>1</v>
      </c>
      <c r="I1" s="53"/>
      <c r="J1" s="54"/>
      <c r="K1" s="44"/>
    </row>
    <row r="2" spans="1:11">
      <c r="A2" s="9" t="s">
        <v>2</v>
      </c>
      <c r="B2" s="22" t="s">
        <v>3</v>
      </c>
      <c r="C2" s="6" t="s">
        <v>4</v>
      </c>
      <c r="D2" s="7" t="s">
        <v>5</v>
      </c>
      <c r="E2" s="23" t="s">
        <v>6</v>
      </c>
      <c r="F2" s="11" t="s">
        <v>6</v>
      </c>
      <c r="G2" s="44"/>
      <c r="H2" s="37" t="s">
        <v>7</v>
      </c>
      <c r="I2" s="38">
        <f>SUM(I3:I5)</f>
        <v>53</v>
      </c>
      <c r="J2" s="39">
        <f>I2/$I$2</f>
        <v>1</v>
      </c>
      <c r="K2" s="45"/>
    </row>
    <row r="3" spans="1:11">
      <c r="A3" s="36">
        <v>1</v>
      </c>
      <c r="B3" s="24">
        <v>39570</v>
      </c>
      <c r="C3" s="1" t="s">
        <v>8</v>
      </c>
      <c r="D3" s="5" t="s">
        <v>9</v>
      </c>
      <c r="E3" s="25" t="s">
        <v>10</v>
      </c>
      <c r="F3" s="10" t="s">
        <v>11</v>
      </c>
      <c r="G3" s="44"/>
      <c r="H3" s="15" t="s">
        <v>11</v>
      </c>
      <c r="I3" s="13">
        <f>SUMIF(F3:F360,"Seier",A3:A360)</f>
        <v>25</v>
      </c>
      <c r="J3" s="16">
        <f>I3/$I$2</f>
        <v>0.47169811320754718</v>
      </c>
      <c r="K3" s="45"/>
    </row>
    <row r="4" spans="1:11">
      <c r="A4" s="36">
        <v>1</v>
      </c>
      <c r="B4" s="24">
        <v>39691</v>
      </c>
      <c r="C4" s="1" t="s">
        <v>8</v>
      </c>
      <c r="D4" s="5" t="s">
        <v>12</v>
      </c>
      <c r="E4" s="26" t="s">
        <v>13</v>
      </c>
      <c r="F4" s="10" t="s">
        <v>11</v>
      </c>
      <c r="G4" s="44"/>
      <c r="H4" s="17" t="s">
        <v>14</v>
      </c>
      <c r="I4" s="14">
        <f>SUMIF(F3:F360,"Uavgjort",A3:A360)</f>
        <v>13</v>
      </c>
      <c r="J4" s="18">
        <f t="shared" ref="J3:J5" si="0">I4/$I$2</f>
        <v>0.24528301886792453</v>
      </c>
      <c r="K4" s="45"/>
    </row>
    <row r="5" spans="1:11">
      <c r="A5" s="36">
        <v>1</v>
      </c>
      <c r="B5" s="24">
        <v>39943</v>
      </c>
      <c r="C5" s="1" t="s">
        <v>8</v>
      </c>
      <c r="D5" s="5" t="s">
        <v>15</v>
      </c>
      <c r="E5" s="27" t="s">
        <v>16</v>
      </c>
      <c r="F5" s="10" t="s">
        <v>11</v>
      </c>
      <c r="G5" s="44"/>
      <c r="H5" s="19" t="s">
        <v>17</v>
      </c>
      <c r="I5" s="20">
        <f>SUMIF(F3:F360,"Tap",A3:A360)</f>
        <v>15</v>
      </c>
      <c r="J5" s="21">
        <f t="shared" si="0"/>
        <v>0.28301886792452829</v>
      </c>
      <c r="K5" s="45"/>
    </row>
    <row r="6" spans="1:11">
      <c r="A6" s="36">
        <v>1</v>
      </c>
      <c r="B6" s="24">
        <v>40111</v>
      </c>
      <c r="C6" s="1" t="s">
        <v>8</v>
      </c>
      <c r="D6" s="5" t="s">
        <v>18</v>
      </c>
      <c r="E6" s="28" t="s">
        <v>19</v>
      </c>
      <c r="F6" s="10" t="s">
        <v>20</v>
      </c>
      <c r="G6" s="45"/>
      <c r="H6" s="45"/>
      <c r="I6" s="45"/>
      <c r="J6" s="45"/>
      <c r="K6" s="44"/>
    </row>
    <row r="7" spans="1:11">
      <c r="A7" s="36">
        <v>1</v>
      </c>
      <c r="B7" s="24">
        <v>40265</v>
      </c>
      <c r="C7" s="1" t="s">
        <v>8</v>
      </c>
      <c r="D7" s="5" t="s">
        <v>21</v>
      </c>
      <c r="E7" s="26" t="s">
        <v>16</v>
      </c>
      <c r="F7" s="10" t="s">
        <v>11</v>
      </c>
      <c r="G7" s="45"/>
      <c r="H7" s="45"/>
      <c r="I7" s="45"/>
      <c r="J7" s="45"/>
      <c r="K7" s="44"/>
    </row>
    <row r="8" spans="1:11">
      <c r="A8" s="36">
        <v>1</v>
      </c>
      <c r="B8" s="24">
        <v>40481</v>
      </c>
      <c r="C8" s="1" t="s">
        <v>8</v>
      </c>
      <c r="D8" s="5" t="s">
        <v>22</v>
      </c>
      <c r="E8" s="27" t="s">
        <v>23</v>
      </c>
      <c r="F8" s="10" t="s">
        <v>17</v>
      </c>
      <c r="G8" s="45"/>
      <c r="H8" s="45"/>
      <c r="I8" s="45"/>
      <c r="J8" s="45"/>
      <c r="K8" s="44"/>
    </row>
    <row r="9" spans="1:11">
      <c r="A9" s="36">
        <v>1</v>
      </c>
      <c r="B9" s="24">
        <v>40656</v>
      </c>
      <c r="C9" s="1" t="s">
        <v>8</v>
      </c>
      <c r="D9" s="5" t="s">
        <v>24</v>
      </c>
      <c r="E9" s="28" t="s">
        <v>23</v>
      </c>
      <c r="F9" s="10" t="s">
        <v>17</v>
      </c>
      <c r="G9" s="45"/>
      <c r="H9" s="45"/>
      <c r="I9" s="45"/>
      <c r="J9" s="45"/>
      <c r="K9" s="44"/>
    </row>
    <row r="10" spans="1:11">
      <c r="A10" s="36">
        <v>1</v>
      </c>
      <c r="B10" s="24">
        <v>41153</v>
      </c>
      <c r="C10" s="1" t="s">
        <v>8</v>
      </c>
      <c r="D10" s="5" t="s">
        <v>25</v>
      </c>
      <c r="E10" s="29" t="s">
        <v>26</v>
      </c>
      <c r="F10" s="10" t="s">
        <v>11</v>
      </c>
      <c r="G10" s="45"/>
      <c r="H10" s="45"/>
      <c r="I10" s="45"/>
      <c r="J10" s="45"/>
      <c r="K10" s="44"/>
    </row>
    <row r="11" spans="1:11">
      <c r="A11" s="36">
        <v>1</v>
      </c>
      <c r="B11" s="24">
        <v>41377</v>
      </c>
      <c r="C11" s="1" t="s">
        <v>8</v>
      </c>
      <c r="D11" s="5" t="s">
        <v>27</v>
      </c>
      <c r="E11" s="28" t="s">
        <v>28</v>
      </c>
      <c r="F11" s="10" t="s">
        <v>11</v>
      </c>
      <c r="G11" s="45"/>
      <c r="H11" s="45"/>
      <c r="I11" s="45"/>
      <c r="J11" s="45"/>
      <c r="K11" s="44"/>
    </row>
    <row r="12" spans="1:11">
      <c r="A12" s="36">
        <v>1</v>
      </c>
      <c r="B12" s="24">
        <v>41531</v>
      </c>
      <c r="C12" s="1" t="s">
        <v>8</v>
      </c>
      <c r="D12" s="5" t="s">
        <v>29</v>
      </c>
      <c r="E12" s="30" t="s">
        <v>26</v>
      </c>
      <c r="F12" s="10" t="s">
        <v>11</v>
      </c>
      <c r="G12" s="45"/>
      <c r="H12" s="45"/>
      <c r="I12" s="45"/>
      <c r="J12" s="45"/>
      <c r="K12" s="44"/>
    </row>
    <row r="13" spans="1:11">
      <c r="A13" s="36">
        <v>1</v>
      </c>
      <c r="B13" s="24">
        <v>41770</v>
      </c>
      <c r="C13" s="1" t="s">
        <v>8</v>
      </c>
      <c r="D13" s="5" t="s">
        <v>9</v>
      </c>
      <c r="E13" s="30" t="s">
        <v>30</v>
      </c>
      <c r="F13" s="10" t="s">
        <v>20</v>
      </c>
      <c r="G13" s="45"/>
      <c r="H13" s="45"/>
      <c r="I13" s="45"/>
      <c r="J13" s="45"/>
      <c r="K13" s="44"/>
    </row>
    <row r="14" spans="1:11">
      <c r="A14" s="36">
        <v>1</v>
      </c>
      <c r="B14" s="24">
        <v>41896</v>
      </c>
      <c r="C14" s="1" t="s">
        <v>8</v>
      </c>
      <c r="D14" s="5" t="s">
        <v>31</v>
      </c>
      <c r="E14" s="30" t="s">
        <v>32</v>
      </c>
      <c r="F14" s="10" t="s">
        <v>17</v>
      </c>
      <c r="G14" s="45"/>
      <c r="H14" s="45"/>
      <c r="I14" s="45"/>
      <c r="J14" s="45"/>
      <c r="K14" s="44"/>
    </row>
    <row r="15" spans="1:11">
      <c r="A15" s="36">
        <v>1</v>
      </c>
      <c r="B15" s="24">
        <v>42127</v>
      </c>
      <c r="C15" s="1" t="s">
        <v>8</v>
      </c>
      <c r="D15" s="5" t="s">
        <v>33</v>
      </c>
      <c r="E15" s="30" t="s">
        <v>34</v>
      </c>
      <c r="F15" s="10" t="s">
        <v>11</v>
      </c>
      <c r="G15" s="45"/>
      <c r="H15" s="45"/>
      <c r="I15" s="45"/>
      <c r="J15" s="45"/>
      <c r="K15" s="44"/>
    </row>
    <row r="16" spans="1:11">
      <c r="A16" s="36">
        <v>1</v>
      </c>
      <c r="B16" s="24">
        <v>42232</v>
      </c>
      <c r="C16" s="1" t="s">
        <v>8</v>
      </c>
      <c r="D16" s="5" t="s">
        <v>35</v>
      </c>
      <c r="E16" s="30" t="s">
        <v>36</v>
      </c>
      <c r="F16" s="10" t="s">
        <v>11</v>
      </c>
      <c r="G16" s="45"/>
      <c r="H16" s="45"/>
      <c r="I16" s="45"/>
      <c r="J16" s="45"/>
      <c r="K16" s="44"/>
    </row>
    <row r="17" spans="1:11">
      <c r="A17" s="36">
        <v>1</v>
      </c>
      <c r="B17" s="24">
        <v>42302</v>
      </c>
      <c r="C17" s="1" t="s">
        <v>8</v>
      </c>
      <c r="D17" s="5" t="s">
        <v>37</v>
      </c>
      <c r="E17" s="30" t="s">
        <v>34</v>
      </c>
      <c r="F17" s="10" t="s">
        <v>11</v>
      </c>
      <c r="G17" s="45"/>
      <c r="H17" s="45"/>
      <c r="I17" s="45"/>
      <c r="J17" s="45"/>
      <c r="K17" s="44"/>
    </row>
    <row r="18" spans="1:11">
      <c r="A18" s="36">
        <v>1</v>
      </c>
      <c r="B18" s="31">
        <v>42428</v>
      </c>
      <c r="C18" s="2" t="s">
        <v>38</v>
      </c>
      <c r="D18" s="8" t="s">
        <v>8</v>
      </c>
      <c r="E18" s="32" t="s">
        <v>39</v>
      </c>
      <c r="F18" s="10" t="s">
        <v>11</v>
      </c>
      <c r="G18" s="45"/>
      <c r="H18" s="45"/>
      <c r="I18" s="45"/>
      <c r="J18" s="45"/>
      <c r="K18" s="44"/>
    </row>
    <row r="19" spans="1:11">
      <c r="A19" s="36">
        <v>1</v>
      </c>
      <c r="B19" s="24">
        <v>42505</v>
      </c>
      <c r="C19" s="1" t="s">
        <v>8</v>
      </c>
      <c r="D19" s="5" t="s">
        <v>40</v>
      </c>
      <c r="E19" s="30" t="s">
        <v>41</v>
      </c>
      <c r="F19" s="10" t="s">
        <v>11</v>
      </c>
      <c r="G19" s="45"/>
      <c r="H19" s="45"/>
      <c r="I19" s="45"/>
      <c r="J19" s="45"/>
      <c r="K19" s="44"/>
    </row>
    <row r="20" spans="1:11">
      <c r="A20" s="36">
        <v>1</v>
      </c>
      <c r="B20" s="24">
        <v>42623</v>
      </c>
      <c r="C20" s="1" t="s">
        <v>8</v>
      </c>
      <c r="D20" s="5" t="s">
        <v>42</v>
      </c>
      <c r="E20" s="30" t="s">
        <v>26</v>
      </c>
      <c r="F20" s="10" t="s">
        <v>11</v>
      </c>
      <c r="G20" s="45"/>
      <c r="H20" s="45"/>
      <c r="I20" s="45"/>
      <c r="J20" s="45"/>
      <c r="K20" s="44"/>
    </row>
    <row r="21" spans="1:11">
      <c r="A21" s="36">
        <v>1</v>
      </c>
      <c r="B21" s="24">
        <v>42804</v>
      </c>
      <c r="C21" s="1" t="s">
        <v>8</v>
      </c>
      <c r="D21" s="5" t="s">
        <v>43</v>
      </c>
      <c r="E21" s="30" t="s">
        <v>32</v>
      </c>
      <c r="F21" s="10" t="s">
        <v>17</v>
      </c>
      <c r="G21" s="45"/>
      <c r="H21" s="45"/>
      <c r="I21" s="45"/>
      <c r="J21" s="45"/>
      <c r="K21" s="44"/>
    </row>
    <row r="22" spans="1:11">
      <c r="A22" s="36">
        <v>1</v>
      </c>
      <c r="B22" s="24">
        <v>42812</v>
      </c>
      <c r="C22" s="1" t="s">
        <v>8</v>
      </c>
      <c r="D22" s="5" t="s">
        <v>44</v>
      </c>
      <c r="E22" s="30" t="s">
        <v>45</v>
      </c>
      <c r="F22" s="10" t="s">
        <v>20</v>
      </c>
      <c r="G22" s="45"/>
      <c r="H22" s="45"/>
      <c r="I22" s="45"/>
      <c r="J22" s="45"/>
      <c r="K22" s="44"/>
    </row>
    <row r="23" spans="1:11">
      <c r="A23" s="36">
        <v>1</v>
      </c>
      <c r="B23" s="24">
        <v>43001</v>
      </c>
      <c r="C23" s="1" t="s">
        <v>8</v>
      </c>
      <c r="D23" s="5" t="s">
        <v>46</v>
      </c>
      <c r="E23" s="30" t="s">
        <v>32</v>
      </c>
      <c r="F23" s="10" t="s">
        <v>17</v>
      </c>
      <c r="G23" s="46"/>
      <c r="H23" s="46"/>
      <c r="I23" s="46"/>
      <c r="J23" s="46"/>
      <c r="K23" s="44"/>
    </row>
    <row r="24" spans="1:11">
      <c r="A24" s="36">
        <v>1</v>
      </c>
      <c r="B24" s="24">
        <v>43169</v>
      </c>
      <c r="C24" s="1" t="s">
        <v>8</v>
      </c>
      <c r="D24" s="5" t="s">
        <v>47</v>
      </c>
      <c r="E24" s="30" t="s">
        <v>45</v>
      </c>
      <c r="F24" s="10" t="s">
        <v>20</v>
      </c>
      <c r="G24" s="44"/>
      <c r="H24" s="44"/>
      <c r="I24" s="44"/>
      <c r="J24" s="44"/>
      <c r="K24" s="44"/>
    </row>
    <row r="25" spans="1:11">
      <c r="A25" s="36">
        <v>1</v>
      </c>
      <c r="B25" s="33">
        <v>43218</v>
      </c>
      <c r="C25" s="3" t="s">
        <v>8</v>
      </c>
      <c r="D25" s="12" t="s">
        <v>35</v>
      </c>
      <c r="E25" s="26" t="s">
        <v>48</v>
      </c>
      <c r="F25" s="10" t="s">
        <v>11</v>
      </c>
      <c r="G25" s="44"/>
      <c r="H25" s="44"/>
      <c r="I25" s="44"/>
      <c r="J25" s="44"/>
      <c r="K25" s="44"/>
    </row>
    <row r="26" spans="1:11">
      <c r="A26" s="36">
        <v>1</v>
      </c>
      <c r="B26" s="24">
        <v>43322</v>
      </c>
      <c r="C26" s="3" t="s">
        <v>8</v>
      </c>
      <c r="D26" s="5" t="s">
        <v>49</v>
      </c>
      <c r="E26" s="34" t="s">
        <v>16</v>
      </c>
      <c r="F26" s="10" t="s">
        <v>11</v>
      </c>
      <c r="G26" s="44"/>
      <c r="H26" s="44"/>
      <c r="I26" s="44"/>
      <c r="J26" s="44"/>
      <c r="K26" s="44"/>
    </row>
    <row r="27" spans="1:11">
      <c r="A27" s="36">
        <v>1</v>
      </c>
      <c r="B27" s="31">
        <v>43373</v>
      </c>
      <c r="C27" s="4" t="s">
        <v>50</v>
      </c>
      <c r="D27" s="8" t="s">
        <v>8</v>
      </c>
      <c r="E27" s="35" t="s">
        <v>45</v>
      </c>
      <c r="F27" s="10" t="s">
        <v>20</v>
      </c>
      <c r="G27" s="44"/>
      <c r="H27" s="44"/>
      <c r="I27" s="44"/>
      <c r="J27" s="44"/>
      <c r="K27" s="44"/>
    </row>
    <row r="28" spans="1:11">
      <c r="A28" s="36">
        <v>1</v>
      </c>
      <c r="B28" s="24">
        <v>43534</v>
      </c>
      <c r="C28" s="1" t="s">
        <v>8</v>
      </c>
      <c r="D28" s="5" t="s">
        <v>50</v>
      </c>
      <c r="E28" s="34" t="s">
        <v>51</v>
      </c>
      <c r="F28" s="10" t="s">
        <v>17</v>
      </c>
      <c r="G28" s="44"/>
      <c r="H28" s="44"/>
      <c r="I28" s="44"/>
      <c r="J28" s="44"/>
      <c r="K28" s="44"/>
    </row>
    <row r="29" spans="1:11">
      <c r="A29" s="36">
        <v>1</v>
      </c>
      <c r="B29" s="24">
        <v>43799</v>
      </c>
      <c r="C29" s="1" t="s">
        <v>8</v>
      </c>
      <c r="D29" s="5" t="s">
        <v>44</v>
      </c>
      <c r="E29" s="34" t="s">
        <v>52</v>
      </c>
      <c r="F29" s="10" t="s">
        <v>17</v>
      </c>
      <c r="G29" s="44"/>
      <c r="H29" s="44"/>
      <c r="I29" s="44"/>
      <c r="J29" s="44"/>
      <c r="K29" s="44"/>
    </row>
    <row r="30" spans="1:11">
      <c r="A30" s="36">
        <v>1</v>
      </c>
      <c r="B30" s="24">
        <v>43820</v>
      </c>
      <c r="C30" s="1" t="s">
        <v>8</v>
      </c>
      <c r="D30" s="5" t="s">
        <v>53</v>
      </c>
      <c r="E30" s="34" t="s">
        <v>48</v>
      </c>
      <c r="F30" s="10" t="s">
        <v>11</v>
      </c>
      <c r="G30" s="44"/>
      <c r="H30" s="44"/>
      <c r="I30" s="44"/>
      <c r="J30" s="44"/>
      <c r="K30" s="44"/>
    </row>
    <row r="31" spans="1:11">
      <c r="A31" s="36">
        <v>1</v>
      </c>
      <c r="B31" s="31">
        <v>44499</v>
      </c>
      <c r="C31" s="2" t="s">
        <v>54</v>
      </c>
      <c r="D31" s="8" t="s">
        <v>8</v>
      </c>
      <c r="E31" s="32" t="s">
        <v>19</v>
      </c>
      <c r="F31" s="10" t="s">
        <v>20</v>
      </c>
      <c r="G31" s="44"/>
      <c r="H31" s="44"/>
      <c r="I31" s="44"/>
      <c r="J31" s="44"/>
      <c r="K31" s="44"/>
    </row>
    <row r="32" spans="1:11">
      <c r="A32" s="36">
        <v>1</v>
      </c>
      <c r="B32" s="24">
        <v>44638</v>
      </c>
      <c r="C32" s="1" t="s">
        <v>8</v>
      </c>
      <c r="D32" s="5" t="s">
        <v>55</v>
      </c>
      <c r="E32" s="34" t="s">
        <v>34</v>
      </c>
      <c r="F32" s="10" t="s">
        <v>11</v>
      </c>
      <c r="G32" s="44"/>
      <c r="H32" s="44"/>
      <c r="I32" s="44"/>
      <c r="J32" s="44"/>
      <c r="K32" s="44"/>
    </row>
    <row r="33" spans="1:11">
      <c r="A33" s="36">
        <v>1</v>
      </c>
      <c r="B33" s="24">
        <v>44758</v>
      </c>
      <c r="C33" s="1" t="s">
        <v>8</v>
      </c>
      <c r="D33" s="5" t="s">
        <v>56</v>
      </c>
      <c r="E33" s="30" t="s">
        <v>36</v>
      </c>
      <c r="F33" s="10" t="s">
        <v>11</v>
      </c>
      <c r="G33" s="44"/>
      <c r="H33" s="44"/>
      <c r="I33" s="44"/>
      <c r="J33" s="44"/>
      <c r="K33" s="44"/>
    </row>
    <row r="34" spans="1:11">
      <c r="A34" s="36">
        <v>1</v>
      </c>
      <c r="B34" s="40">
        <v>44856</v>
      </c>
      <c r="C34" s="41" t="s">
        <v>53</v>
      </c>
      <c r="D34" s="42" t="s">
        <v>8</v>
      </c>
      <c r="E34" s="43" t="s">
        <v>16</v>
      </c>
      <c r="F34" s="10" t="s">
        <v>17</v>
      </c>
      <c r="G34" s="44"/>
      <c r="H34" s="44"/>
      <c r="I34" s="44"/>
      <c r="J34" s="44"/>
      <c r="K34" s="44"/>
    </row>
    <row r="35" spans="1:11">
      <c r="A35" s="36">
        <v>1</v>
      </c>
      <c r="B35" s="24">
        <v>44863</v>
      </c>
      <c r="C35" s="1" t="s">
        <v>8</v>
      </c>
      <c r="D35" s="5" t="s">
        <v>49</v>
      </c>
      <c r="E35" s="30" t="s">
        <v>19</v>
      </c>
      <c r="F35" s="10" t="s">
        <v>20</v>
      </c>
      <c r="G35" s="44"/>
      <c r="H35" s="44"/>
      <c r="I35" s="44"/>
      <c r="J35" s="44"/>
      <c r="K35" s="44"/>
    </row>
    <row r="36" spans="1:11">
      <c r="A36" s="36">
        <v>1</v>
      </c>
      <c r="B36" s="24">
        <v>44962</v>
      </c>
      <c r="C36" s="1" t="s">
        <v>8</v>
      </c>
      <c r="D36" s="5" t="s">
        <v>44</v>
      </c>
      <c r="E36" s="30" t="s">
        <v>16</v>
      </c>
      <c r="F36" s="10" t="s">
        <v>11</v>
      </c>
      <c r="G36" s="44"/>
      <c r="H36" s="44"/>
      <c r="I36" s="44"/>
      <c r="J36" s="44"/>
      <c r="K36" s="44"/>
    </row>
    <row r="37" spans="1:11">
      <c r="A37" s="36">
        <v>1</v>
      </c>
      <c r="B37" s="24">
        <v>44996</v>
      </c>
      <c r="C37" s="1" t="s">
        <v>8</v>
      </c>
      <c r="D37" s="5" t="s">
        <v>35</v>
      </c>
      <c r="E37" s="30" t="s">
        <v>26</v>
      </c>
      <c r="F37" s="10" t="s">
        <v>11</v>
      </c>
      <c r="G37" s="44"/>
      <c r="H37" s="44"/>
      <c r="I37" s="44"/>
      <c r="J37" s="44"/>
      <c r="K37" s="44"/>
    </row>
    <row r="38" spans="1:11">
      <c r="A38" s="36">
        <v>1</v>
      </c>
      <c r="B38" s="24">
        <v>45074</v>
      </c>
      <c r="C38" s="1" t="s">
        <v>8</v>
      </c>
      <c r="D38" s="5" t="s">
        <v>57</v>
      </c>
      <c r="E38" s="30" t="s">
        <v>19</v>
      </c>
      <c r="F38" s="10" t="s">
        <v>20</v>
      </c>
      <c r="G38" s="44"/>
      <c r="H38" s="44"/>
      <c r="I38" s="44"/>
      <c r="J38" s="44"/>
      <c r="K38" s="44"/>
    </row>
    <row r="39" spans="1:11">
      <c r="A39" s="36">
        <v>1</v>
      </c>
      <c r="B39" s="24">
        <v>45143</v>
      </c>
      <c r="C39" s="1" t="s">
        <v>8</v>
      </c>
      <c r="D39" s="5" t="s">
        <v>46</v>
      </c>
      <c r="E39" s="30" t="s">
        <v>45</v>
      </c>
      <c r="F39" s="10" t="s">
        <v>20</v>
      </c>
      <c r="G39" s="44"/>
      <c r="H39" s="44"/>
      <c r="I39" s="44"/>
      <c r="J39" s="44"/>
      <c r="K39" s="44"/>
    </row>
    <row r="40" spans="1:11">
      <c r="A40" s="36">
        <v>1</v>
      </c>
      <c r="B40" s="40">
        <v>45199</v>
      </c>
      <c r="C40" s="41" t="s">
        <v>58</v>
      </c>
      <c r="D40" s="42" t="s">
        <v>8</v>
      </c>
      <c r="E40" s="43" t="s">
        <v>32</v>
      </c>
      <c r="F40" s="10" t="s">
        <v>11</v>
      </c>
      <c r="G40" s="44"/>
      <c r="H40" s="44"/>
      <c r="I40" s="44"/>
      <c r="J40" s="44"/>
      <c r="K40" s="44"/>
    </row>
    <row r="41" spans="1:11">
      <c r="A41" s="36">
        <v>1</v>
      </c>
      <c r="B41" s="24">
        <v>45408</v>
      </c>
      <c r="C41" s="1" t="s">
        <v>8</v>
      </c>
      <c r="D41" s="5" t="s">
        <v>21</v>
      </c>
      <c r="E41" s="30" t="s">
        <v>34</v>
      </c>
      <c r="F41" s="10" t="s">
        <v>11</v>
      </c>
      <c r="G41" s="44"/>
      <c r="H41" s="44"/>
      <c r="I41" s="44"/>
      <c r="J41" s="44"/>
      <c r="K41" s="44"/>
    </row>
    <row r="42" spans="1:11">
      <c r="A42" s="36">
        <v>1</v>
      </c>
      <c r="B42" s="40">
        <v>45415</v>
      </c>
      <c r="C42" s="41" t="s">
        <v>50</v>
      </c>
      <c r="D42" s="42" t="s">
        <v>8</v>
      </c>
      <c r="E42" s="43" t="s">
        <v>34</v>
      </c>
      <c r="F42" s="10" t="s">
        <v>17</v>
      </c>
      <c r="G42" s="44"/>
      <c r="H42" s="44"/>
      <c r="I42" s="44"/>
      <c r="J42" s="44"/>
      <c r="K42" s="44"/>
    </row>
    <row r="43" spans="1:11">
      <c r="A43" s="36">
        <v>1</v>
      </c>
      <c r="B43" s="24">
        <v>45529</v>
      </c>
      <c r="C43" s="1" t="s">
        <v>8</v>
      </c>
      <c r="D43" s="5" t="s">
        <v>55</v>
      </c>
      <c r="E43" s="34" t="s">
        <v>39</v>
      </c>
      <c r="F43" s="10" t="s">
        <v>17</v>
      </c>
      <c r="G43" s="44"/>
      <c r="H43" s="44"/>
      <c r="I43" s="44"/>
      <c r="J43" s="44"/>
      <c r="K43" s="44"/>
    </row>
    <row r="44" spans="1:11">
      <c r="A44" s="36">
        <v>1</v>
      </c>
      <c r="B44" s="24">
        <v>45591</v>
      </c>
      <c r="C44" s="1" t="s">
        <v>8</v>
      </c>
      <c r="D44" s="5" t="s">
        <v>59</v>
      </c>
      <c r="E44" s="34" t="s">
        <v>45</v>
      </c>
      <c r="F44" s="10" t="s">
        <v>20</v>
      </c>
      <c r="G44" s="44"/>
      <c r="H44" s="44"/>
      <c r="I44" s="44"/>
      <c r="J44" s="44"/>
      <c r="K44" s="44"/>
    </row>
    <row r="45" spans="1:11">
      <c r="A45" s="36">
        <v>1</v>
      </c>
      <c r="B45" s="24">
        <v>45625</v>
      </c>
      <c r="C45" s="1" t="s">
        <v>8</v>
      </c>
      <c r="D45" s="5" t="s">
        <v>60</v>
      </c>
      <c r="E45" s="30" t="s">
        <v>28</v>
      </c>
      <c r="F45" s="10" t="s">
        <v>11</v>
      </c>
      <c r="G45" s="44"/>
      <c r="H45" s="44"/>
      <c r="I45" s="44"/>
      <c r="J45" s="44"/>
      <c r="K45" s="44"/>
    </row>
    <row r="46" spans="1:11">
      <c r="A46" s="36">
        <v>1</v>
      </c>
      <c r="B46" s="24">
        <v>45780</v>
      </c>
      <c r="C46" s="1" t="s">
        <v>8</v>
      </c>
      <c r="D46" s="5" t="s">
        <v>61</v>
      </c>
      <c r="E46" s="34" t="s">
        <v>52</v>
      </c>
      <c r="F46" s="10" t="s">
        <v>17</v>
      </c>
      <c r="G46" s="44"/>
      <c r="H46" s="44"/>
      <c r="I46" s="44"/>
      <c r="J46" s="44"/>
      <c r="K46" s="44"/>
    </row>
    <row r="47" spans="1:11">
      <c r="A47" s="36">
        <v>1</v>
      </c>
      <c r="B47" s="24">
        <v>45892</v>
      </c>
      <c r="C47" s="1" t="s">
        <v>8</v>
      </c>
      <c r="D47" s="5" t="s">
        <v>62</v>
      </c>
      <c r="E47" s="30" t="s">
        <v>63</v>
      </c>
      <c r="F47" s="10" t="s">
        <v>20</v>
      </c>
      <c r="G47" s="44"/>
      <c r="H47" s="44"/>
      <c r="I47" s="44"/>
      <c r="J47" s="44"/>
      <c r="K47" s="44"/>
    </row>
    <row r="48" spans="1:11">
      <c r="A48" s="36">
        <v>1</v>
      </c>
      <c r="B48" s="24">
        <v>45962</v>
      </c>
      <c r="C48" s="1" t="s">
        <v>8</v>
      </c>
      <c r="D48" s="5" t="s">
        <v>64</v>
      </c>
      <c r="E48" s="34" t="s">
        <v>51</v>
      </c>
      <c r="F48" s="10" t="s">
        <v>17</v>
      </c>
      <c r="G48" s="44"/>
      <c r="H48" s="44"/>
      <c r="I48" s="44"/>
      <c r="J48" s="44"/>
      <c r="K48" s="44"/>
    </row>
    <row r="49" spans="1:11">
      <c r="A49" s="36">
        <v>1</v>
      </c>
      <c r="B49" s="24">
        <v>45984</v>
      </c>
      <c r="C49" s="1" t="s">
        <v>8</v>
      </c>
      <c r="D49" s="5" t="s">
        <v>43</v>
      </c>
      <c r="E49" s="34" t="s">
        <v>52</v>
      </c>
      <c r="F49" s="10" t="s">
        <v>17</v>
      </c>
      <c r="G49" s="44"/>
      <c r="H49" s="44"/>
      <c r="I49" s="44"/>
      <c r="J49" s="44"/>
      <c r="K49" s="44"/>
    </row>
    <row r="50" spans="1:11">
      <c r="A50" s="36">
        <v>1</v>
      </c>
      <c r="B50" s="40">
        <v>45990</v>
      </c>
      <c r="C50" s="41" t="s">
        <v>65</v>
      </c>
      <c r="D50" s="42" t="s">
        <v>8</v>
      </c>
      <c r="E50" s="43" t="s">
        <v>28</v>
      </c>
      <c r="F50" s="47" t="s">
        <v>17</v>
      </c>
      <c r="G50" s="44"/>
      <c r="H50" s="44"/>
      <c r="I50" s="44"/>
      <c r="J50" s="44"/>
      <c r="K50" s="44"/>
    </row>
    <row r="51" spans="1:11">
      <c r="A51" s="36">
        <v>1</v>
      </c>
      <c r="B51" s="24">
        <v>46004</v>
      </c>
      <c r="C51" s="1" t="s">
        <v>8</v>
      </c>
      <c r="D51" s="5" t="s">
        <v>55</v>
      </c>
      <c r="E51" s="48" t="s">
        <v>26</v>
      </c>
      <c r="F51" s="10" t="s">
        <v>11</v>
      </c>
      <c r="G51" s="44"/>
      <c r="H51" s="44"/>
      <c r="I51" s="44"/>
      <c r="J51" s="44"/>
      <c r="K51" s="44"/>
    </row>
    <row r="52" spans="1:11">
      <c r="A52" s="36">
        <v>1</v>
      </c>
      <c r="B52" s="24">
        <v>46129</v>
      </c>
      <c r="C52" s="1" t="s">
        <v>8</v>
      </c>
      <c r="D52" s="5" t="s">
        <v>66</v>
      </c>
      <c r="E52" s="48" t="s">
        <v>19</v>
      </c>
      <c r="F52" s="10" t="s">
        <v>20</v>
      </c>
      <c r="G52" s="44"/>
      <c r="H52" s="44"/>
      <c r="I52" s="44"/>
      <c r="J52" s="44"/>
      <c r="K52" s="44"/>
    </row>
    <row r="53" spans="1:11">
      <c r="A53" s="36">
        <v>1</v>
      </c>
      <c r="B53" s="24">
        <v>46243</v>
      </c>
      <c r="C53" s="1" t="s">
        <v>8</v>
      </c>
      <c r="D53" s="5" t="s">
        <v>35</v>
      </c>
      <c r="E53" s="48" t="s">
        <v>19</v>
      </c>
      <c r="F53" s="10" t="s">
        <v>20</v>
      </c>
      <c r="G53" s="44"/>
      <c r="H53" s="44"/>
      <c r="I53" s="44"/>
      <c r="J53" s="44"/>
      <c r="K53" s="44"/>
    </row>
    <row r="54" spans="1:11">
      <c r="A54" s="36">
        <v>1</v>
      </c>
      <c r="B54" s="24">
        <v>46264</v>
      </c>
      <c r="C54" s="1" t="s">
        <v>8</v>
      </c>
      <c r="D54" s="5" t="s">
        <v>40</v>
      </c>
      <c r="E54" s="48" t="s">
        <v>32</v>
      </c>
      <c r="F54" s="10" t="s">
        <v>17</v>
      </c>
      <c r="G54" s="44"/>
      <c r="H54" s="44"/>
      <c r="I54" s="44"/>
      <c r="J54" s="44"/>
      <c r="K54" s="44"/>
    </row>
    <row r="55" spans="1:11" s="44" customFormat="1">
      <c r="A55" s="36">
        <v>1</v>
      </c>
      <c r="B55" s="24">
        <v>46277</v>
      </c>
      <c r="C55" s="1" t="s">
        <v>8</v>
      </c>
      <c r="D55" s="5" t="s">
        <v>59</v>
      </c>
      <c r="E55" s="48" t="s">
        <v>34</v>
      </c>
      <c r="F55" s="10" t="s">
        <v>11</v>
      </c>
    </row>
    <row r="56" spans="1:11" s="44" customFormat="1">
      <c r="A56" s="36">
        <v>1</v>
      </c>
      <c r="B56" s="24"/>
      <c r="C56" s="1"/>
      <c r="D56" s="5"/>
      <c r="E56" s="48"/>
      <c r="F56" s="10"/>
    </row>
    <row r="57" spans="1:11" s="44" customFormat="1">
      <c r="A57" s="36">
        <v>1</v>
      </c>
      <c r="B57" s="24"/>
      <c r="C57" s="1"/>
      <c r="D57" s="5"/>
      <c r="E57" s="48"/>
      <c r="F57" s="10"/>
    </row>
    <row r="58" spans="1:11" s="44" customFormat="1">
      <c r="A58" s="36">
        <v>1</v>
      </c>
      <c r="B58" s="24"/>
      <c r="C58" s="1"/>
      <c r="D58" s="5"/>
      <c r="E58" s="48"/>
      <c r="F58" s="10"/>
    </row>
    <row r="59" spans="1:11" s="44" customFormat="1">
      <c r="A59" s="36">
        <v>1</v>
      </c>
      <c r="B59" s="24"/>
      <c r="C59" s="1"/>
      <c r="D59" s="5"/>
      <c r="E59" s="48"/>
      <c r="F59" s="10"/>
    </row>
    <row r="60" spans="1:11" s="44" customFormat="1">
      <c r="A60" s="36">
        <v>1</v>
      </c>
      <c r="B60" s="24"/>
      <c r="C60" s="1"/>
      <c r="D60" s="5"/>
      <c r="E60" s="48"/>
      <c r="F60" s="10"/>
    </row>
    <row r="61" spans="1:11" s="44" customFormat="1">
      <c r="A61" s="36">
        <v>1</v>
      </c>
      <c r="B61" s="24"/>
      <c r="C61" s="1"/>
      <c r="D61" s="5"/>
      <c r="E61" s="48"/>
      <c r="F61" s="10"/>
    </row>
    <row r="62" spans="1:11" s="44" customFormat="1">
      <c r="A62" s="36">
        <v>1</v>
      </c>
      <c r="B62" s="24"/>
      <c r="C62" s="1"/>
      <c r="D62" s="5"/>
      <c r="E62" s="48"/>
      <c r="F62" s="10"/>
    </row>
    <row r="63" spans="1:11" s="44" customFormat="1">
      <c r="A63" s="36">
        <v>1</v>
      </c>
      <c r="B63" s="24"/>
      <c r="C63" s="1"/>
      <c r="D63" s="5"/>
      <c r="E63" s="48"/>
      <c r="F63" s="10"/>
    </row>
    <row r="64" spans="1:11" s="44" customFormat="1">
      <c r="A64" s="36">
        <v>1</v>
      </c>
      <c r="B64" s="24"/>
      <c r="C64" s="1"/>
      <c r="D64" s="5"/>
      <c r="E64" s="48"/>
      <c r="F64" s="10"/>
    </row>
    <row r="65" spans="1:6" s="44" customFormat="1">
      <c r="A65" s="36">
        <v>1</v>
      </c>
      <c r="B65" s="24"/>
      <c r="C65" s="1"/>
      <c r="D65" s="5"/>
      <c r="E65" s="48"/>
      <c r="F65" s="10"/>
    </row>
    <row r="66" spans="1:6" s="44" customFormat="1">
      <c r="A66" s="36">
        <v>1</v>
      </c>
      <c r="B66" s="24"/>
      <c r="C66" s="1"/>
      <c r="D66" s="5"/>
      <c r="E66" s="48"/>
      <c r="F66" s="10"/>
    </row>
    <row r="67" spans="1:6" s="44" customFormat="1">
      <c r="A67" s="36">
        <v>1</v>
      </c>
      <c r="B67" s="24"/>
      <c r="C67" s="1"/>
      <c r="D67" s="5"/>
      <c r="E67" s="48"/>
      <c r="F67" s="10"/>
    </row>
    <row r="68" spans="1:6" s="44" customFormat="1">
      <c r="A68" s="36">
        <v>1</v>
      </c>
      <c r="B68" s="24"/>
      <c r="C68" s="1"/>
      <c r="D68" s="5"/>
      <c r="E68" s="48"/>
      <c r="F68" s="10"/>
    </row>
    <row r="69" spans="1:6" s="44" customFormat="1">
      <c r="A69" s="36">
        <v>1</v>
      </c>
      <c r="B69" s="24"/>
      <c r="C69" s="1"/>
      <c r="D69" s="5"/>
      <c r="E69" s="48"/>
      <c r="F69" s="10"/>
    </row>
    <row r="70" spans="1:6" s="44" customFormat="1">
      <c r="A70" s="36">
        <v>1</v>
      </c>
      <c r="B70" s="24"/>
      <c r="C70" s="1"/>
      <c r="D70" s="5"/>
      <c r="E70" s="48"/>
      <c r="F70" s="10"/>
    </row>
    <row r="71" spans="1:6" s="44" customFormat="1"/>
    <row r="72" spans="1:6" s="44" customFormat="1"/>
    <row r="73" spans="1:6" s="44" customFormat="1"/>
    <row r="74" spans="1:6" s="44" customFormat="1"/>
    <row r="75" spans="1:6" s="44" customFormat="1"/>
    <row r="76" spans="1:6" s="44" customFormat="1"/>
    <row r="77" spans="1:6" s="44" customFormat="1"/>
    <row r="78" spans="1:6" s="44" customFormat="1"/>
    <row r="79" spans="1:6" s="44" customFormat="1"/>
    <row r="80" spans="1:6" s="44" customFormat="1"/>
  </sheetData>
  <mergeCells count="2">
    <mergeCell ref="B1:E1"/>
    <mergeCell ref="H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Implenia AG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Olsen Bjørn</dc:creator>
  <cp:keywords/>
  <dc:description/>
  <cp:lastModifiedBy>Partisan Lillestrøm</cp:lastModifiedBy>
  <cp:revision/>
  <dcterms:created xsi:type="dcterms:W3CDTF">2018-01-16T11:36:50Z</dcterms:created>
  <dcterms:modified xsi:type="dcterms:W3CDTF">2026-09-16T06:35:36Z</dcterms:modified>
  <cp:category/>
  <cp:contentStatus/>
</cp:coreProperties>
</file>